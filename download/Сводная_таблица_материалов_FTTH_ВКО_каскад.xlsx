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ОРШ'!C79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ОРШ'!$B$80:$B$91</f>
            </numRef>
          </cat>
          <val>
            <numRef>
              <f>'Децентрализация ОРШ'!$C$80:$C$91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ОРШ'!D79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ОРШ'!$D$80:$D$91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/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271" t="n">
        <v>1</v>
      </c>
      <c r="C6" s="112" t="inlineStr">
        <is>
          <t>Шкаф оптический распределительный (ОРШ) центральный — в здании ЦУ</t>
        </is>
      </c>
      <c r="D6" s="271" t="inlineStr">
        <is>
          <t>шт</t>
        </is>
      </c>
      <c r="E6" s="112" t="inlineStr">
        <is>
          <t>1 на СНП (здание по проекту)</t>
        </is>
      </c>
      <c r="F6" s="262" t="n">
        <v>1</v>
      </c>
      <c r="G6" s="262" t="n">
        <v>1</v>
      </c>
      <c r="H6" s="262" t="n">
        <v>1</v>
      </c>
      <c r="I6" s="262" t="n">
        <v>1</v>
      </c>
      <c r="J6" s="262" t="n">
        <v>1</v>
      </c>
      <c r="K6" s="262" t="n">
        <v>1</v>
      </c>
      <c r="L6" s="146">
        <f>SUM(F6:K6)</f>
        <v/>
      </c>
    </row>
    <row r="7" ht="24" customHeight="1" s="63">
      <c r="B7" s="272" t="n">
        <v>2</v>
      </c>
      <c r="C7" s="114" t="inlineStr">
        <is>
          <t>Шкаф зонный ОРШ уличный (под сплиттеры 1:64)</t>
        </is>
      </c>
      <c r="D7" s="272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263" t="n">
        <v>14</v>
      </c>
      <c r="G7" s="263" t="n"/>
      <c r="H7" s="263" t="n">
        <v>4</v>
      </c>
      <c r="I7" s="263" t="n">
        <v>9</v>
      </c>
      <c r="J7" s="263" t="n">
        <v>3</v>
      </c>
      <c r="K7" s="263" t="n">
        <v>6</v>
      </c>
      <c r="L7" s="147">
        <f>SUM(F7:K7)</f>
        <v/>
      </c>
    </row>
    <row r="8" ht="24" customHeight="1" s="63">
      <c r="B8" s="271" t="n">
        <v>3</v>
      </c>
      <c r="C8" s="112" t="inlineStr">
        <is>
          <t>Сплиттер PLC 1×64 (в ОРШ: ЦУ и зонных)</t>
        </is>
      </c>
      <c r="D8" s="271" t="inlineStr">
        <is>
          <t>шт</t>
        </is>
      </c>
      <c r="E8" s="112" t="inlineStr">
        <is>
          <t>ceil(ДХ зоны / 64), заполнение 75-100%</t>
        </is>
      </c>
      <c r="F8" s="262" t="n">
        <v>22</v>
      </c>
      <c r="G8" s="262" t="n">
        <v>2</v>
      </c>
      <c r="H8" s="262" t="n">
        <v>8</v>
      </c>
      <c r="I8" s="262" t="n">
        <v>14</v>
      </c>
      <c r="J8" s="262" t="n">
        <v>6</v>
      </c>
      <c r="K8" s="262" t="n">
        <v>12</v>
      </c>
      <c r="L8" s="146">
        <f>SUM(F8:K8)</f>
        <v/>
      </c>
    </row>
    <row r="9" ht="24" customHeight="1" s="63">
      <c r="B9" s="272" t="n">
        <v>4</v>
      </c>
      <c r="C9" s="114" t="inlineStr">
        <is>
          <t>Пигтейль SC/UPC для кросса ОРШ</t>
        </is>
      </c>
      <c r="D9" s="272" t="inlineStr">
        <is>
          <t>шт</t>
        </is>
      </c>
      <c r="E9" s="114" t="inlineStr">
        <is>
          <t>ДХ + 2 × сплиттеры 1:64</t>
        </is>
      </c>
      <c r="F9" s="263" t="n">
        <v>1073</v>
      </c>
      <c r="G9" s="263" t="n">
        <v>128</v>
      </c>
      <c r="H9" s="263" t="n">
        <v>392</v>
      </c>
      <c r="I9" s="263" t="n">
        <v>650</v>
      </c>
      <c r="J9" s="263" t="n">
        <v>298</v>
      </c>
      <c r="K9" s="263" t="n">
        <v>639</v>
      </c>
      <c r="L9" s="147">
        <f>SUM(F9:K9)</f>
        <v/>
      </c>
    </row>
    <row r="10" ht="24" customHeight="1" s="63">
      <c r="B10" s="271" t="n">
        <v>5</v>
      </c>
      <c r="C10" s="112" t="inlineStr">
        <is>
          <t>Порт PON OLT — справочно (активное оборудование, единый узел OLT)</t>
        </is>
      </c>
      <c r="D10" s="271" t="inlineStr">
        <is>
          <t>шт</t>
        </is>
      </c>
      <c r="E10" s="112" t="inlineStr">
        <is>
          <t>по числу сплиттеров 1:64</t>
        </is>
      </c>
      <c r="F10" s="262" t="n">
        <v>22</v>
      </c>
      <c r="G10" s="262" t="n">
        <v>2</v>
      </c>
      <c r="H10" s="262" t="n">
        <v>8</v>
      </c>
      <c r="I10" s="262" t="n">
        <v>14</v>
      </c>
      <c r="J10" s="262" t="n">
        <v>6</v>
      </c>
      <c r="K10" s="262" t="n">
        <v>12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271" t="n">
        <v>6</v>
      </c>
      <c r="C12" s="112" t="inlineStr">
        <is>
          <t>Кабель оптический самонесущий, 8 волокон</t>
        </is>
      </c>
      <c r="D12" s="271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264" t="n">
        <v>16.7</v>
      </c>
      <c r="G12" s="264" t="n">
        <v>2.6</v>
      </c>
      <c r="H12" s="264" t="n">
        <v>5</v>
      </c>
      <c r="I12" s="264" t="n">
        <v>9.9</v>
      </c>
      <c r="J12" s="264" t="n">
        <v>4.5</v>
      </c>
      <c r="K12" s="264" t="n">
        <v>4</v>
      </c>
      <c r="L12" s="148">
        <f>SUM(F12:K12)</f>
        <v/>
      </c>
    </row>
    <row r="13" ht="24" customHeight="1" s="63">
      <c r="B13" s="272" t="n">
        <v>7</v>
      </c>
      <c r="C13" s="114" t="inlineStr">
        <is>
          <t>Кабель оптический самонесущий, 12 волокон</t>
        </is>
      </c>
      <c r="D13" s="272" t="inlineStr">
        <is>
          <t>км</t>
        </is>
      </c>
      <c r="E13" s="114" t="inlineStr">
        <is>
          <t>то же</t>
        </is>
      </c>
      <c r="F13" s="266" t="n">
        <v>4.4</v>
      </c>
      <c r="G13" s="266" t="n">
        <v>0.6</v>
      </c>
      <c r="H13" s="266" t="n">
        <v>1.5</v>
      </c>
      <c r="I13" s="266" t="n">
        <v>3.5</v>
      </c>
      <c r="J13" s="266" t="n">
        <v>0.7</v>
      </c>
      <c r="K13" s="266" t="n">
        <v>1.3</v>
      </c>
      <c r="L13" s="149">
        <f>SUM(F13:K13)</f>
        <v/>
      </c>
    </row>
    <row r="14" ht="24" customHeight="1" s="63">
      <c r="B14" s="271" t="n">
        <v>8</v>
      </c>
      <c r="C14" s="112" t="inlineStr">
        <is>
          <t>Кабель оптический самонесущий, 16 волокон</t>
        </is>
      </c>
      <c r="D14" s="271" t="inlineStr">
        <is>
          <t>км</t>
        </is>
      </c>
      <c r="E14" s="112" t="inlineStr">
        <is>
          <t>то же</t>
        </is>
      </c>
      <c r="F14" s="264" t="n">
        <v>1.8</v>
      </c>
      <c r="G14" s="264" t="n">
        <v>0.5</v>
      </c>
      <c r="H14" s="264" t="n">
        <v>0.5</v>
      </c>
      <c r="I14" s="264" t="n">
        <v>1.6</v>
      </c>
      <c r="J14" s="264" t="n">
        <v>1.3</v>
      </c>
      <c r="K14" s="264" t="n">
        <v>0.8</v>
      </c>
      <c r="L14" s="148">
        <f>SUM(F14:K14)</f>
        <v/>
      </c>
    </row>
    <row r="15" ht="24" customHeight="1" s="63">
      <c r="B15" s="272" t="n">
        <v>9</v>
      </c>
      <c r="C15" s="114" t="inlineStr">
        <is>
          <t>Кабель оптический самонесущий, 24 волокна</t>
        </is>
      </c>
      <c r="D15" s="272" t="inlineStr">
        <is>
          <t>км</t>
        </is>
      </c>
      <c r="E15" s="114" t="inlineStr">
        <is>
          <t>то же</t>
        </is>
      </c>
      <c r="F15" s="266" t="n">
        <v>6</v>
      </c>
      <c r="G15" s="266" t="n">
        <v>1</v>
      </c>
      <c r="H15" s="266" t="n">
        <v>2</v>
      </c>
      <c r="I15" s="266" t="n">
        <v>3.1</v>
      </c>
      <c r="J15" s="266" t="n">
        <v>1.4</v>
      </c>
      <c r="K15" s="266" t="n">
        <v>1.4</v>
      </c>
      <c r="L15" s="149">
        <f>SUM(F15:K15)</f>
        <v/>
      </c>
    </row>
    <row r="16" ht="24" customHeight="1" s="63">
      <c r="B16" s="271" t="n">
        <v>10</v>
      </c>
      <c r="C16" s="112" t="inlineStr">
        <is>
          <t>Кабель оптический самонесущий, 32 волокна</t>
        </is>
      </c>
      <c r="D16" s="271" t="inlineStr">
        <is>
          <t>км</t>
        </is>
      </c>
      <c r="E16" s="112" t="inlineStr">
        <is>
          <t>то же</t>
        </is>
      </c>
      <c r="F16" s="264" t="n">
        <v>2.2</v>
      </c>
      <c r="G16" s="264" t="n">
        <v>0.4</v>
      </c>
      <c r="H16" s="264" t="n">
        <v>1.1</v>
      </c>
      <c r="I16" s="264" t="n">
        <v>1.8</v>
      </c>
      <c r="J16" s="264" t="n">
        <v>0.8</v>
      </c>
      <c r="K16" s="264" t="n">
        <v>0.7</v>
      </c>
      <c r="L16" s="148">
        <f>SUM(F16:K16)</f>
        <v/>
      </c>
    </row>
    <row r="17" ht="24" customHeight="1" s="63">
      <c r="B17" s="272" t="n">
        <v>11</v>
      </c>
      <c r="C17" s="114" t="inlineStr">
        <is>
          <t>Кабель оптический самонесущий, 48 волокон</t>
        </is>
      </c>
      <c r="D17" s="272" t="inlineStr">
        <is>
          <t>км</t>
        </is>
      </c>
      <c r="E17" s="114" t="inlineStr">
        <is>
          <t>то же</t>
        </is>
      </c>
      <c r="F17" s="266" t="n">
        <v>1.7</v>
      </c>
      <c r="G17" s="266" t="n">
        <v>0.2</v>
      </c>
      <c r="H17" s="266" t="n">
        <v>1.1</v>
      </c>
      <c r="I17" s="266" t="n">
        <v>1.5</v>
      </c>
      <c r="J17" s="266" t="n">
        <v>0.4</v>
      </c>
      <c r="K17" s="266" t="n">
        <v>1.1</v>
      </c>
      <c r="L17" s="149">
        <f>SUM(F17:K17)</f>
        <v/>
      </c>
    </row>
    <row r="18" ht="24" customHeight="1" s="63">
      <c r="B18" s="271" t="n">
        <v>12</v>
      </c>
      <c r="C18" s="112" t="inlineStr">
        <is>
          <t>Кабель оптический самонесущий, 64 волокна</t>
        </is>
      </c>
      <c r="D18" s="271" t="inlineStr">
        <is>
          <t>км</t>
        </is>
      </c>
      <c r="E18" s="112" t="inlineStr">
        <is>
          <t>то же</t>
        </is>
      </c>
      <c r="F18" s="264" t="n">
        <v>0.7</v>
      </c>
      <c r="G18" s="264" t="n">
        <v>0.3</v>
      </c>
      <c r="H18" s="264" t="n">
        <v>0.5</v>
      </c>
      <c r="I18" s="264" t="n">
        <v>0.4</v>
      </c>
      <c r="J18" s="264" t="n">
        <v>0.3</v>
      </c>
      <c r="K18" s="264" t="n">
        <v>0.4</v>
      </c>
      <c r="L18" s="148">
        <f>SUM(F18:K18)</f>
        <v/>
      </c>
    </row>
    <row r="19" ht="24" customHeight="1" s="63">
      <c r="B19" s="272" t="n">
        <v>13</v>
      </c>
      <c r="C19" s="114" t="inlineStr">
        <is>
          <t>Кабель оптический самонесущий, 72 волокна</t>
        </is>
      </c>
      <c r="D19" s="272" t="inlineStr">
        <is>
          <t>км</t>
        </is>
      </c>
      <c r="E19" s="114" t="inlineStr">
        <is>
          <t>то же</t>
        </is>
      </c>
      <c r="F19" s="266" t="n">
        <v>0.4</v>
      </c>
      <c r="G19" s="266" t="n"/>
      <c r="H19" s="266" t="n"/>
      <c r="I19" s="266" t="n"/>
      <c r="J19" s="266" t="n"/>
      <c r="K19" s="266" t="n">
        <v>0.2</v>
      </c>
      <c r="L19" s="149">
        <f>SUM(F19:K19)</f>
        <v/>
      </c>
    </row>
    <row r="20" ht="24" customHeight="1" s="63">
      <c r="B20" s="271" t="n">
        <v>14</v>
      </c>
      <c r="C20" s="112" t="inlineStr">
        <is>
          <t>Кабель оптический самонесущий, 96 волокон</t>
        </is>
      </c>
      <c r="D20" s="271" t="inlineStr">
        <is>
          <t>км</t>
        </is>
      </c>
      <c r="E20" s="112" t="inlineStr">
        <is>
          <t>то же</t>
        </is>
      </c>
      <c r="F20" s="264" t="n">
        <v>0.1</v>
      </c>
      <c r="G20" s="264" t="n">
        <v>0.1</v>
      </c>
      <c r="H20" s="264" t="n">
        <v>0.2</v>
      </c>
      <c r="I20" s="264" t="n"/>
      <c r="J20" s="264" t="n">
        <v>0.1</v>
      </c>
      <c r="K20" s="264" t="n">
        <v>0.1</v>
      </c>
      <c r="L20" s="148">
        <f>SUM(F20:K20)</f>
        <v/>
      </c>
    </row>
    <row r="21" ht="24" customHeight="1" s="63">
      <c r="B21" s="272" t="n">
        <v>15</v>
      </c>
      <c r="C21" s="114" t="inlineStr">
        <is>
          <t>Кабель дроп-кабельный самонесущий, 2 волокна (1 раб. + 1 рез.)</t>
        </is>
      </c>
      <c r="D21" s="272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266" t="n">
        <v>41.7</v>
      </c>
      <c r="G21" s="266" t="n">
        <v>5.2</v>
      </c>
      <c r="H21" s="266" t="n">
        <v>15.8</v>
      </c>
      <c r="I21" s="266" t="n">
        <v>27.2</v>
      </c>
      <c r="J21" s="266" t="n">
        <v>12.9</v>
      </c>
      <c r="K21" s="266" t="n">
        <v>22.5</v>
      </c>
      <c r="L21" s="149">
        <f>SUM(F21:K21)</f>
        <v/>
      </c>
    </row>
    <row r="22" ht="24" customHeight="1" s="63">
      <c r="B22" s="271" t="n">
        <v>16</v>
      </c>
      <c r="C22" s="112" t="inlineStr">
        <is>
          <t>Справочно: суммарная ёмкость магистрального кабеля</t>
        </is>
      </c>
      <c r="D22" s="271" t="inlineStr">
        <is>
          <t>волокно-км</t>
        </is>
      </c>
      <c r="E22" s="112" t="inlineStr">
        <is>
          <t>Σ (длина участка × волокна)</t>
        </is>
      </c>
      <c r="F22" s="264" t="n">
        <v>524.8</v>
      </c>
      <c r="G22" s="264" t="n">
        <v>90</v>
      </c>
      <c r="H22" s="264" t="n">
        <v>218.5</v>
      </c>
      <c r="I22" s="264" t="n">
        <v>329.9</v>
      </c>
      <c r="J22" s="264" t="n">
        <v>141.2</v>
      </c>
      <c r="K22" s="264" t="n">
        <v>186.7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271" t="n">
        <v>17</v>
      </c>
      <c r="C24" s="112" t="inlineStr">
        <is>
          <t>Муфта оптическая (ветвления магистрали)</t>
        </is>
      </c>
      <c r="D24" s="271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262" t="n">
        <v>367</v>
      </c>
      <c r="G24" s="262" t="n">
        <v>70</v>
      </c>
      <c r="H24" s="262" t="n">
        <v>158</v>
      </c>
      <c r="I24" s="262" t="n">
        <v>246</v>
      </c>
      <c r="J24" s="262" t="n">
        <v>119</v>
      </c>
      <c r="K24" s="262" t="n">
        <v>144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271" t="n">
        <v>18</v>
      </c>
      <c r="C26" s="112" t="inlineStr">
        <is>
          <t>Бокс абонентский оптический с адаптером SC/UPC</t>
        </is>
      </c>
      <c r="D26" s="271" t="inlineStr">
        <is>
          <t>шт</t>
        </is>
      </c>
      <c r="E26" s="112" t="inlineStr">
        <is>
          <t>1 на ДХ</t>
        </is>
      </c>
      <c r="F26" s="262" t="n">
        <v>1029</v>
      </c>
      <c r="G26" s="262" t="n">
        <v>124</v>
      </c>
      <c r="H26" s="262" t="n">
        <v>376</v>
      </c>
      <c r="I26" s="262" t="n">
        <v>622</v>
      </c>
      <c r="J26" s="262" t="n">
        <v>286</v>
      </c>
      <c r="K26" s="262" t="n">
        <v>615</v>
      </c>
      <c r="L26" s="146">
        <f>SUM(F26:K26)</f>
        <v/>
      </c>
    </row>
    <row r="27" ht="24" customHeight="1" s="63">
      <c r="B27" s="272" t="n">
        <v>19</v>
      </c>
      <c r="C27" s="114" t="inlineStr">
        <is>
          <t>Коннектор оптический механический SC/UPC</t>
        </is>
      </c>
      <c r="D27" s="272" t="inlineStr">
        <is>
          <t>шт</t>
        </is>
      </c>
      <c r="E27" s="114" t="inlineStr">
        <is>
          <t>ДХ × 1,1 (абонентский бокс)</t>
        </is>
      </c>
      <c r="F27" s="263" t="n">
        <v>1132</v>
      </c>
      <c r="G27" s="263" t="n">
        <v>137</v>
      </c>
      <c r="H27" s="263" t="n">
        <v>414</v>
      </c>
      <c r="I27" s="263" t="n">
        <v>685</v>
      </c>
      <c r="J27" s="263" t="n">
        <v>315</v>
      </c>
      <c r="K27" s="263" t="n">
        <v>677</v>
      </c>
      <c r="L27" s="147">
        <f>SUM(F27:K27)</f>
        <v/>
      </c>
    </row>
    <row r="28" ht="24" customHeight="1" s="63">
      <c r="B28" s="271" t="n">
        <v>20</v>
      </c>
      <c r="C28" s="112" t="inlineStr">
        <is>
          <t>Сварное соединение (оценка объёма работ)</t>
        </is>
      </c>
      <c r="D28" s="271" t="inlineStr">
        <is>
          <t>шт</t>
        </is>
      </c>
      <c r="E28" s="112" t="inlineStr">
        <is>
          <t>(2 × ДХ + 2 × сплиттеры 1:64) × 1,1</t>
        </is>
      </c>
      <c r="F28" s="262" t="n">
        <v>2313</v>
      </c>
      <c r="G28" s="262" t="n">
        <v>278</v>
      </c>
      <c r="H28" s="262" t="n">
        <v>845</v>
      </c>
      <c r="I28" s="262" t="n">
        <v>1400</v>
      </c>
      <c r="J28" s="262" t="n">
        <v>643</v>
      </c>
      <c r="K28" s="262" t="n">
        <v>1380</v>
      </c>
      <c r="L28" s="146">
        <f>SUM(F28:K28)</f>
        <v/>
      </c>
    </row>
    <row r="29" ht="24" customHeight="1" s="63">
      <c r="B29" s="272" t="n">
        <v>21</v>
      </c>
      <c r="C29" s="114" t="inlineStr">
        <is>
          <t>Гильза КДЗС, 60 мм</t>
        </is>
      </c>
      <c r="D29" s="272" t="inlineStr">
        <is>
          <t>шт</t>
        </is>
      </c>
      <c r="E29" s="114" t="inlineStr">
        <is>
          <t>по числу сварных соединений</t>
        </is>
      </c>
      <c r="F29" s="263" t="n">
        <v>2313</v>
      </c>
      <c r="G29" s="263" t="n">
        <v>278</v>
      </c>
      <c r="H29" s="263" t="n">
        <v>845</v>
      </c>
      <c r="I29" s="263" t="n">
        <v>1400</v>
      </c>
      <c r="J29" s="263" t="n">
        <v>643</v>
      </c>
      <c r="K29" s="263" t="n">
        <v>1380</v>
      </c>
      <c r="L29" s="147">
        <f>SUM(F29:K29)</f>
        <v/>
      </c>
    </row>
    <row r="30" ht="24" customHeight="1" s="63">
      <c r="B30" s="271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271" t="inlineStr">
        <is>
          <t>компл</t>
        </is>
      </c>
      <c r="E30" s="112" t="inlineStr">
        <is>
          <t>30 на 1 км кабеля</t>
        </is>
      </c>
      <c r="F30" s="262" t="n">
        <v>918</v>
      </c>
      <c r="G30" s="262" t="n">
        <v>144</v>
      </c>
      <c r="H30" s="262" t="n">
        <v>316</v>
      </c>
      <c r="I30" s="262" t="n">
        <v>584</v>
      </c>
      <c r="J30" s="262" t="n">
        <v>247</v>
      </c>
      <c r="K30" s="262" t="n">
        <v>263</v>
      </c>
      <c r="L30" s="146">
        <f>SUM(F30:K30)</f>
        <v/>
      </c>
    </row>
    <row r="31" ht="24" customHeight="1" s="63">
      <c r="B31" s="272" t="n">
        <v>23</v>
      </c>
      <c r="C31" s="114" t="inlineStr">
        <is>
          <t>Анкерный зажим дроп-кабеля</t>
        </is>
      </c>
      <c r="D31" s="272" t="inlineStr">
        <is>
          <t>шт</t>
        </is>
      </c>
      <c r="E31" s="114" t="inlineStr">
        <is>
          <t>2 на ДХ</t>
        </is>
      </c>
      <c r="F31" s="263" t="n">
        <v>2058</v>
      </c>
      <c r="G31" s="263" t="n">
        <v>248</v>
      </c>
      <c r="H31" s="263" t="n">
        <v>752</v>
      </c>
      <c r="I31" s="263" t="n">
        <v>1244</v>
      </c>
      <c r="J31" s="263" t="n">
        <v>572</v>
      </c>
      <c r="K31" s="263" t="n">
        <v>1230</v>
      </c>
      <c r="L31" s="147">
        <f>SUM(F31:K31)</f>
        <v/>
      </c>
    </row>
    <row r="32" ht="24" customHeight="1" s="63">
      <c r="B32" s="271" t="n">
        <v>24</v>
      </c>
      <c r="C32" s="112" t="inlineStr">
        <is>
          <t>Крепёж дроп-кабеля (скобы / хомуты)</t>
        </is>
      </c>
      <c r="D32" s="271" t="inlineStr">
        <is>
          <t>шт</t>
        </is>
      </c>
      <c r="E32" s="112" t="inlineStr">
        <is>
          <t>6 на ДХ</t>
        </is>
      </c>
      <c r="F32" s="262" t="n">
        <v>6174</v>
      </c>
      <c r="G32" s="262" t="n">
        <v>744</v>
      </c>
      <c r="H32" s="262" t="n">
        <v>2256</v>
      </c>
      <c r="I32" s="262" t="n">
        <v>3732</v>
      </c>
      <c r="J32" s="262" t="n">
        <v>1716</v>
      </c>
      <c r="K32" s="262" t="n">
        <v>3690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36 зон + 6 ЦУ = 42 ОРШ; заполнение сплиттеров 1:64 — 75-100%; ср. волоконный маршрут ДХ 279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36 зон + 6 ЦУ = 42 ОРШ; волокно-км 1491 (-69% к A); суммарная длина 215.8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276" t="n">
        <v>69</v>
      </c>
      <c r="G18" s="276" t="n">
        <v>0</v>
      </c>
      <c r="H18" s="276" t="n">
        <v>2</v>
      </c>
      <c r="I18" s="276" t="n">
        <v>0</v>
      </c>
      <c r="J18" s="276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277" t="n">
        <v>46</v>
      </c>
      <c r="G19" s="277" t="n">
        <v>752</v>
      </c>
      <c r="H19" s="277" t="n">
        <v>1</v>
      </c>
      <c r="I19" s="277" t="n">
        <v>2</v>
      </c>
      <c r="J19" s="277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276" t="n">
        <v>114</v>
      </c>
      <c r="G20" s="276" t="n">
        <v>546</v>
      </c>
      <c r="H20" s="276" t="n">
        <v>2</v>
      </c>
      <c r="I20" s="276" t="n">
        <v>3</v>
      </c>
      <c r="J20" s="276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277" t="n">
        <v>30</v>
      </c>
      <c r="G21" s="277" t="n">
        <v>667</v>
      </c>
      <c r="H21" s="277" t="n">
        <v>1</v>
      </c>
      <c r="I21" s="277" t="n">
        <v>2</v>
      </c>
      <c r="J21" s="277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276" t="n">
        <v>132</v>
      </c>
      <c r="G22" s="276" t="n">
        <v>717</v>
      </c>
      <c r="H22" s="276" t="n">
        <v>3</v>
      </c>
      <c r="I22" s="276" t="n">
        <v>4</v>
      </c>
      <c r="J22" s="276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277" t="n">
        <v>109</v>
      </c>
      <c r="G23" s="277" t="n">
        <v>856</v>
      </c>
      <c r="H23" s="277" t="n">
        <v>2</v>
      </c>
      <c r="I23" s="277" t="n">
        <v>3</v>
      </c>
      <c r="J23" s="277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276" t="n">
        <v>84</v>
      </c>
      <c r="G24" s="276" t="n">
        <v>908</v>
      </c>
      <c r="H24" s="276" t="n">
        <v>2</v>
      </c>
      <c r="I24" s="276" t="n">
        <v>3</v>
      </c>
      <c r="J24" s="276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277" t="n">
        <v>50</v>
      </c>
      <c r="G25" s="277" t="n">
        <v>1708</v>
      </c>
      <c r="H25" s="277" t="n">
        <v>1</v>
      </c>
      <c r="I25" s="277" t="n">
        <v>2</v>
      </c>
      <c r="J25" s="277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276" t="n">
        <v>49</v>
      </c>
      <c r="G26" s="276" t="n">
        <v>860</v>
      </c>
      <c r="H26" s="276" t="n">
        <v>1</v>
      </c>
      <c r="I26" s="276" t="n">
        <v>2</v>
      </c>
      <c r="J26" s="276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277" t="n">
        <v>49</v>
      </c>
      <c r="G27" s="277" t="n">
        <v>1211</v>
      </c>
      <c r="H27" s="277" t="n">
        <v>1</v>
      </c>
      <c r="I27" s="277" t="n">
        <v>2</v>
      </c>
      <c r="J27" s="277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276" t="n">
        <v>88</v>
      </c>
      <c r="G28" s="276" t="n">
        <v>1175</v>
      </c>
      <c r="H28" s="276" t="n">
        <v>2</v>
      </c>
      <c r="I28" s="276" t="n">
        <v>3</v>
      </c>
      <c r="J28" s="276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277" t="n">
        <v>50</v>
      </c>
      <c r="G29" s="277" t="n">
        <v>1169</v>
      </c>
      <c r="H29" s="277" t="n">
        <v>1</v>
      </c>
      <c r="I29" s="277" t="n">
        <v>2</v>
      </c>
      <c r="J29" s="277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276" t="n">
        <v>51</v>
      </c>
      <c r="G30" s="276" t="n">
        <v>1390</v>
      </c>
      <c r="H30" s="276" t="n">
        <v>1</v>
      </c>
      <c r="I30" s="276" t="n">
        <v>2</v>
      </c>
      <c r="J30" s="276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277" t="n">
        <v>49</v>
      </c>
      <c r="G31" s="277" t="n">
        <v>879</v>
      </c>
      <c r="H31" s="277" t="n">
        <v>1</v>
      </c>
      <c r="I31" s="277" t="n">
        <v>2</v>
      </c>
      <c r="J31" s="277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276" t="n">
        <v>59</v>
      </c>
      <c r="G32" s="276" t="n">
        <v>745</v>
      </c>
      <c r="H32" s="276" t="n">
        <v>1</v>
      </c>
      <c r="I32" s="276" t="n">
        <v>2</v>
      </c>
      <c r="J32" s="276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277" t="n">
        <v>124</v>
      </c>
      <c r="G33" s="277" t="n">
        <v>0</v>
      </c>
      <c r="H33" s="277" t="n">
        <v>2</v>
      </c>
      <c r="I33" s="277" t="n">
        <v>0</v>
      </c>
      <c r="J33" s="277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276" t="n">
        <v>35</v>
      </c>
      <c r="G34" s="276" t="n">
        <v>0</v>
      </c>
      <c r="H34" s="276" t="n">
        <v>1</v>
      </c>
      <c r="I34" s="276" t="n">
        <v>0</v>
      </c>
      <c r="J34" s="276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277" t="n">
        <v>56</v>
      </c>
      <c r="G35" s="277" t="n">
        <v>805</v>
      </c>
      <c r="H35" s="277" t="n">
        <v>1</v>
      </c>
      <c r="I35" s="277" t="n">
        <v>2</v>
      </c>
      <c r="J35" s="277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276" t="n">
        <v>156</v>
      </c>
      <c r="G36" s="276" t="n">
        <v>295</v>
      </c>
      <c r="H36" s="276" t="n">
        <v>3</v>
      </c>
      <c r="I36" s="276" t="n">
        <v>4</v>
      </c>
      <c r="J36" s="276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277" t="n">
        <v>69</v>
      </c>
      <c r="G37" s="277" t="n">
        <v>1394</v>
      </c>
      <c r="H37" s="277" t="n">
        <v>2</v>
      </c>
      <c r="I37" s="277" t="n">
        <v>3</v>
      </c>
      <c r="J37" s="277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276" t="n">
        <v>60</v>
      </c>
      <c r="G38" s="276" t="n">
        <v>556</v>
      </c>
      <c r="H38" s="276" t="n">
        <v>1</v>
      </c>
      <c r="I38" s="276" t="n">
        <v>2</v>
      </c>
      <c r="J38" s="276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277" t="n">
        <v>27</v>
      </c>
      <c r="G39" s="277" t="n">
        <v>0</v>
      </c>
      <c r="H39" s="277" t="n">
        <v>1</v>
      </c>
      <c r="I39" s="277" t="n">
        <v>0</v>
      </c>
      <c r="J39" s="277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276" t="n">
        <v>45</v>
      </c>
      <c r="G40" s="276" t="n">
        <v>1298</v>
      </c>
      <c r="H40" s="276" t="n">
        <v>1</v>
      </c>
      <c r="I40" s="276" t="n">
        <v>2</v>
      </c>
      <c r="J40" s="276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277" t="n">
        <v>107</v>
      </c>
      <c r="G41" s="277" t="n">
        <v>418</v>
      </c>
      <c r="H41" s="277" t="n">
        <v>2</v>
      </c>
      <c r="I41" s="277" t="n">
        <v>3</v>
      </c>
      <c r="J41" s="277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276" t="n">
        <v>53</v>
      </c>
      <c r="G42" s="276" t="n">
        <v>1329</v>
      </c>
      <c r="H42" s="276" t="n">
        <v>1</v>
      </c>
      <c r="I42" s="276" t="n">
        <v>2</v>
      </c>
      <c r="J42" s="276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277" t="n">
        <v>53</v>
      </c>
      <c r="G43" s="277" t="n">
        <v>937</v>
      </c>
      <c r="H43" s="277" t="n">
        <v>1</v>
      </c>
      <c r="I43" s="277" t="n">
        <v>2</v>
      </c>
      <c r="J43" s="277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276" t="n">
        <v>85</v>
      </c>
      <c r="G44" s="276" t="n">
        <v>368</v>
      </c>
      <c r="H44" s="276" t="n">
        <v>2</v>
      </c>
      <c r="I44" s="276" t="n">
        <v>3</v>
      </c>
      <c r="J44" s="276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277" t="n">
        <v>48</v>
      </c>
      <c r="G45" s="277" t="n">
        <v>1096</v>
      </c>
      <c r="H45" s="277" t="n">
        <v>1</v>
      </c>
      <c r="I45" s="277" t="n">
        <v>2</v>
      </c>
      <c r="J45" s="277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276" t="n">
        <v>76</v>
      </c>
      <c r="G46" s="276" t="n">
        <v>302</v>
      </c>
      <c r="H46" s="276" t="n">
        <v>2</v>
      </c>
      <c r="I46" s="276" t="n">
        <v>3</v>
      </c>
      <c r="J46" s="276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277" t="n">
        <v>78</v>
      </c>
      <c r="G47" s="277" t="n">
        <v>1779</v>
      </c>
      <c r="H47" s="277" t="n">
        <v>2</v>
      </c>
      <c r="I47" s="277" t="n">
        <v>3</v>
      </c>
      <c r="J47" s="277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276" t="n">
        <v>50</v>
      </c>
      <c r="G48" s="276" t="n">
        <v>476</v>
      </c>
      <c r="H48" s="276" t="n">
        <v>1</v>
      </c>
      <c r="I48" s="276" t="n">
        <v>2</v>
      </c>
      <c r="J48" s="276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277" t="n">
        <v>70</v>
      </c>
      <c r="G49" s="277" t="n">
        <v>0</v>
      </c>
      <c r="H49" s="277" t="n">
        <v>2</v>
      </c>
      <c r="I49" s="277" t="n">
        <v>0</v>
      </c>
      <c r="J49" s="277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276" t="n">
        <v>62</v>
      </c>
      <c r="G50" s="276" t="n">
        <v>666</v>
      </c>
      <c r="H50" s="276" t="n">
        <v>1</v>
      </c>
      <c r="I50" s="276" t="n">
        <v>2</v>
      </c>
      <c r="J50" s="276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277" t="n">
        <v>93</v>
      </c>
      <c r="G51" s="277" t="n">
        <v>262</v>
      </c>
      <c r="H51" s="277" t="n">
        <v>2</v>
      </c>
      <c r="I51" s="277" t="n">
        <v>3</v>
      </c>
      <c r="J51" s="277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276" t="n">
        <v>61</v>
      </c>
      <c r="G52" s="276" t="n">
        <v>367</v>
      </c>
      <c r="H52" s="276" t="n">
        <v>1</v>
      </c>
      <c r="I52" s="276" t="n">
        <v>2</v>
      </c>
      <c r="J52" s="276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277" t="n">
        <v>122</v>
      </c>
      <c r="G53" s="277" t="n">
        <v>0</v>
      </c>
      <c r="H53" s="277" t="n">
        <v>2</v>
      </c>
      <c r="I53" s="277" t="n">
        <v>0</v>
      </c>
      <c r="J53" s="277" t="n">
        <v>144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276" t="n">
        <v>93</v>
      </c>
      <c r="G54" s="276" t="n">
        <v>274</v>
      </c>
      <c r="H54" s="276" t="n">
        <v>2</v>
      </c>
      <c r="I54" s="276" t="n">
        <v>3</v>
      </c>
      <c r="J54" s="276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277" t="n">
        <v>121</v>
      </c>
      <c r="G55" s="277" t="n">
        <v>654</v>
      </c>
      <c r="H55" s="277" t="n">
        <v>2</v>
      </c>
      <c r="I55" s="277" t="n">
        <v>3</v>
      </c>
      <c r="J55" s="277" t="n">
        <v>144</v>
      </c>
    </row>
    <row r="56" ht="18" customHeight="1" s="63">
      <c r="C56" s="112" t="inlineStr"/>
      <c r="D56" s="112" t="inlineStr">
        <is>
          <t>З-3</t>
        </is>
      </c>
      <c r="E56" s="112" t="inlineStr">
        <is>
          <t>зонный шкаф</t>
        </is>
      </c>
      <c r="F56" s="276" t="n">
        <v>91</v>
      </c>
      <c r="G56" s="276" t="n">
        <v>336</v>
      </c>
      <c r="H56" s="276" t="n">
        <v>2</v>
      </c>
      <c r="I56" s="276" t="n">
        <v>3</v>
      </c>
      <c r="J56" s="276" t="n">
        <v>144</v>
      </c>
    </row>
    <row r="57" ht="18" customHeight="1" s="63">
      <c r="C57" s="114" t="inlineStr"/>
      <c r="D57" s="114" t="inlineStr">
        <is>
          <t>З-4</t>
        </is>
      </c>
      <c r="E57" s="114" t="inlineStr">
        <is>
          <t>зонный шкаф</t>
        </is>
      </c>
      <c r="F57" s="277" t="n">
        <v>59</v>
      </c>
      <c r="G57" s="277" t="n">
        <v>433</v>
      </c>
      <c r="H57" s="277" t="n">
        <v>1</v>
      </c>
      <c r="I57" s="277" t="n">
        <v>2</v>
      </c>
      <c r="J57" s="277" t="n">
        <v>96</v>
      </c>
    </row>
    <row r="58" ht="18" customHeight="1" s="63">
      <c r="C58" s="112" t="inlineStr"/>
      <c r="D58" s="112" t="inlineStr">
        <is>
          <t>З-5</t>
        </is>
      </c>
      <c r="E58" s="112" t="inlineStr">
        <is>
          <t>зонный шкаф</t>
        </is>
      </c>
      <c r="F58" s="276" t="n">
        <v>73</v>
      </c>
      <c r="G58" s="276" t="n">
        <v>710</v>
      </c>
      <c r="H58" s="276" t="n">
        <v>2</v>
      </c>
      <c r="I58" s="276" t="n">
        <v>3</v>
      </c>
      <c r="J58" s="276" t="n">
        <v>96</v>
      </c>
    </row>
    <row r="59" ht="18" customHeight="1" s="63">
      <c r="C59" s="114" t="inlineStr"/>
      <c r="D59" s="114" t="inlineStr">
        <is>
          <t>З-6</t>
        </is>
      </c>
      <c r="E59" s="114" t="inlineStr">
        <is>
          <t>зонный шкаф</t>
        </is>
      </c>
      <c r="F59" s="277" t="n">
        <v>56</v>
      </c>
      <c r="G59" s="277" t="n">
        <v>306</v>
      </c>
      <c r="H59" s="277" t="n">
        <v>1</v>
      </c>
      <c r="I59" s="277" t="n">
        <v>2</v>
      </c>
      <c r="J59" s="277" t="n">
        <v>96</v>
      </c>
    </row>
    <row r="60" ht="20" customHeight="1" s="63">
      <c r="C60" s="108" t="inlineStr">
        <is>
          <t>ИТОГО</t>
        </is>
      </c>
      <c r="D60" s="108" t="inlineStr">
        <is>
          <t>42 ОРШ</t>
        </is>
      </c>
      <c r="E60" s="116" t="n"/>
      <c r="F60" s="117">
        <f>SUM(F18:F59)</f>
        <v/>
      </c>
      <c r="G60" s="117" t="n"/>
      <c r="H60" s="117">
        <f>SUM(H18:H59)</f>
        <v/>
      </c>
      <c r="I60" s="117">
        <f>SUM(I18:I59)</f>
        <v/>
      </c>
      <c r="J60" s="117">
        <f>SUM(J18:J59)</f>
        <v/>
      </c>
    </row>
    <row r="61" ht="14" customHeight="1" s="63">
      <c r="B61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63" ht="24" customHeight="1" s="63">
      <c r="B63" s="108" t="n"/>
      <c r="C63" s="108" t="inlineStr">
        <is>
          <t>В. Параметрический sweep порога окупаемости S_MIN</t>
        </is>
      </c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</row>
    <row r="64" ht="28" customHeight="1" s="63">
      <c r="C64" s="111" t="inlineStr">
        <is>
          <t>S_MIN, вол-км</t>
        </is>
      </c>
      <c r="D64" s="111" t="inlineStr">
        <is>
          <t>ОРШ, шт</t>
        </is>
      </c>
      <c r="E64" s="111" t="inlineStr">
        <is>
          <t>Волокно-км</t>
        </is>
      </c>
      <c r="F64" s="111" t="inlineStr">
        <is>
          <t>Δ к A (4375,1)</t>
        </is>
      </c>
      <c r="G64" s="111" t="inlineStr">
        <is>
          <t>Кабель, км</t>
        </is>
      </c>
      <c r="H64" s="111" t="inlineStr">
        <is>
          <t>Дропы, км</t>
        </is>
      </c>
      <c r="I64" s="111" t="inlineStr">
        <is>
          <t>ВСЕГО, км</t>
        </is>
      </c>
      <c r="J64" s="111" t="inlineStr">
        <is>
          <t>Сплиттеры</t>
        </is>
      </c>
      <c r="K64" s="111" t="inlineStr">
        <is>
          <t>Сварки</t>
        </is>
      </c>
      <c r="L64" s="111" t="inlineStr">
        <is>
          <t>Порты ОРШ</t>
        </is>
      </c>
      <c r="M64" s="111" t="inlineStr">
        <is>
          <t>Ср. маршрут волокна, м</t>
        </is>
      </c>
      <c r="N64" s="111" t="inlineStr">
        <is>
          <t>Макс. ёмкость, F</t>
        </is>
      </c>
    </row>
    <row r="65" ht="18" customHeight="1" s="63">
      <c r="C65" s="276" t="n">
        <v>2</v>
      </c>
      <c r="D65" s="276" t="n">
        <v>48</v>
      </c>
      <c r="E65" s="278" t="n">
        <v>1460.2</v>
      </c>
      <c r="F65" s="279">
        <f>E65/4375.1-1</f>
        <v/>
      </c>
      <c r="G65" s="278" t="n">
        <v>80.40000000000001</v>
      </c>
      <c r="H65" s="278" t="n">
        <v>95.8</v>
      </c>
      <c r="I65" s="278">
        <f>G65+H65</f>
        <v/>
      </c>
      <c r="J65" s="276" t="n">
        <v>56</v>
      </c>
      <c r="K65" s="276" t="n">
        <v>5261</v>
      </c>
      <c r="L65" s="276" t="n">
        <v>4368</v>
      </c>
      <c r="M65" s="276" t="n">
        <v>349</v>
      </c>
      <c r="N65" s="276" t="n">
        <v>74</v>
      </c>
    </row>
    <row r="66" ht="18" customHeight="1" s="63">
      <c r="C66" s="277" t="n">
        <v>5</v>
      </c>
      <c r="D66" s="277" t="n">
        <v>43</v>
      </c>
      <c r="E66" s="280" t="n">
        <v>1476.5</v>
      </c>
      <c r="F66" s="281">
        <f>E66/4375.1-1</f>
        <v/>
      </c>
      <c r="G66" s="280" t="n">
        <v>80.40000000000001</v>
      </c>
      <c r="H66" s="280" t="n">
        <v>95.8</v>
      </c>
      <c r="I66" s="280">
        <f>G66+H66</f>
        <v/>
      </c>
      <c r="J66" s="277" t="n">
        <v>54</v>
      </c>
      <c r="K66" s="277" t="n">
        <v>5255</v>
      </c>
      <c r="L66" s="277" t="n">
        <v>4176</v>
      </c>
      <c r="M66" s="277" t="n">
        <v>358</v>
      </c>
      <c r="N66" s="277" t="n">
        <v>108</v>
      </c>
    </row>
    <row r="67" ht="18" customHeight="1" s="63">
      <c r="C67" s="276" t="n">
        <v>8</v>
      </c>
      <c r="D67" s="276" t="n">
        <v>39</v>
      </c>
      <c r="E67" s="278" t="n">
        <v>1500.8</v>
      </c>
      <c r="F67" s="279">
        <f>E67/4375.1-1</f>
        <v/>
      </c>
      <c r="G67" s="278" t="n">
        <v>80.40000000000001</v>
      </c>
      <c r="H67" s="278" t="n">
        <v>95.8</v>
      </c>
      <c r="I67" s="278">
        <f>G67+H67</f>
        <v/>
      </c>
      <c r="J67" s="276" t="n">
        <v>53</v>
      </c>
      <c r="K67" s="276" t="n">
        <v>5253</v>
      </c>
      <c r="L67" s="276" t="n">
        <v>3984</v>
      </c>
      <c r="M67" s="276" t="n">
        <v>368</v>
      </c>
      <c r="N67" s="276" t="n">
        <v>119</v>
      </c>
    </row>
    <row r="68" ht="18" customHeight="1" s="63">
      <c r="C68" s="277" t="n">
        <v>10</v>
      </c>
      <c r="D68" s="277" t="n">
        <v>36</v>
      </c>
      <c r="E68" s="280" t="n">
        <v>1532.5</v>
      </c>
      <c r="F68" s="281">
        <f>E68/4375.1-1</f>
        <v/>
      </c>
      <c r="G68" s="280" t="n">
        <v>80.40000000000001</v>
      </c>
      <c r="H68" s="280" t="n">
        <v>95.8</v>
      </c>
      <c r="I68" s="280">
        <f>G68+H68</f>
        <v/>
      </c>
      <c r="J68" s="277" t="n">
        <v>53</v>
      </c>
      <c r="K68" s="277" t="n">
        <v>5253</v>
      </c>
      <c r="L68" s="277" t="n">
        <v>3888</v>
      </c>
      <c r="M68" s="277" t="n">
        <v>379</v>
      </c>
      <c r="N68" s="277" t="n">
        <v>119</v>
      </c>
    </row>
    <row r="69" ht="18" customHeight="1" s="63">
      <c r="C69" s="282" t="n">
        <v>15</v>
      </c>
      <c r="D69" s="282" t="n">
        <v>34</v>
      </c>
      <c r="E69" s="283" t="n">
        <v>1562.5</v>
      </c>
      <c r="F69" s="284">
        <f>E69/4375.1-1</f>
        <v/>
      </c>
      <c r="G69" s="283" t="n">
        <v>80.5</v>
      </c>
      <c r="H69" s="283" t="n">
        <v>95.8</v>
      </c>
      <c r="I69" s="283">
        <f>G69+H69</f>
        <v/>
      </c>
      <c r="J69" s="282" t="n">
        <v>52</v>
      </c>
      <c r="K69" s="282" t="n">
        <v>5251</v>
      </c>
      <c r="L69" s="282" t="n">
        <v>3696</v>
      </c>
      <c r="M69" s="282" t="n">
        <v>388</v>
      </c>
      <c r="N69" s="282" t="n">
        <v>128</v>
      </c>
    </row>
    <row r="70" ht="18" customHeight="1" s="63">
      <c r="C70" s="277" t="n">
        <v>20</v>
      </c>
      <c r="D70" s="277" t="n">
        <v>32</v>
      </c>
      <c r="E70" s="280" t="n">
        <v>1603.9</v>
      </c>
      <c r="F70" s="281">
        <f>E70/4375.1-1</f>
        <v/>
      </c>
      <c r="G70" s="280" t="n">
        <v>80.90000000000001</v>
      </c>
      <c r="H70" s="280" t="n">
        <v>95.8</v>
      </c>
      <c r="I70" s="280">
        <f>G70+H70</f>
        <v/>
      </c>
      <c r="J70" s="277" t="n">
        <v>51</v>
      </c>
      <c r="K70" s="277" t="n">
        <v>5249</v>
      </c>
      <c r="L70" s="277" t="n">
        <v>3696</v>
      </c>
      <c r="M70" s="277" t="n">
        <v>403</v>
      </c>
      <c r="N70" s="277" t="n">
        <v>148</v>
      </c>
    </row>
    <row r="71" ht="18" customHeight="1" s="63">
      <c r="C71" s="276" t="n">
        <v>25</v>
      </c>
      <c r="D71" s="276" t="n">
        <v>29</v>
      </c>
      <c r="E71" s="278" t="n">
        <v>1674.7</v>
      </c>
      <c r="F71" s="279">
        <f>E71/4375.1-1</f>
        <v/>
      </c>
      <c r="G71" s="278" t="n">
        <v>81.09999999999999</v>
      </c>
      <c r="H71" s="278" t="n">
        <v>95.8</v>
      </c>
      <c r="I71" s="278">
        <f>G71+H71</f>
        <v/>
      </c>
      <c r="J71" s="276" t="n">
        <v>50</v>
      </c>
      <c r="K71" s="276" t="n">
        <v>5247</v>
      </c>
      <c r="L71" s="276" t="n">
        <v>3600</v>
      </c>
      <c r="M71" s="276" t="n">
        <v>427</v>
      </c>
      <c r="N71" s="276" t="n">
        <v>148</v>
      </c>
    </row>
    <row r="72" ht="18" customHeight="1" s="63">
      <c r="C72" s="277" t="n">
        <v>30</v>
      </c>
      <c r="D72" s="277" t="n">
        <v>27</v>
      </c>
      <c r="E72" s="280" t="n">
        <v>1736.2</v>
      </c>
      <c r="F72" s="281">
        <f>E72/4375.1-1</f>
        <v/>
      </c>
      <c r="G72" s="280" t="n">
        <v>81.59999999999999</v>
      </c>
      <c r="H72" s="280" t="n">
        <v>95.8</v>
      </c>
      <c r="I72" s="280">
        <f>G72+H72</f>
        <v/>
      </c>
      <c r="J72" s="277" t="n">
        <v>48</v>
      </c>
      <c r="K72" s="277" t="n">
        <v>5243</v>
      </c>
      <c r="L72" s="277" t="n">
        <v>3504</v>
      </c>
      <c r="M72" s="277" t="n">
        <v>448</v>
      </c>
      <c r="N72" s="277" t="n">
        <v>154</v>
      </c>
    </row>
    <row r="73" ht="18" customHeight="1" s="63">
      <c r="C73" s="276" t="n">
        <v>40</v>
      </c>
      <c r="D73" s="276" t="n">
        <v>24</v>
      </c>
      <c r="E73" s="278" t="n">
        <v>1852</v>
      </c>
      <c r="F73" s="279">
        <f>E73/4375.1-1</f>
        <v/>
      </c>
      <c r="G73" s="278" t="n">
        <v>82.3</v>
      </c>
      <c r="H73" s="278" t="n">
        <v>95.8</v>
      </c>
      <c r="I73" s="278">
        <f>G73+H73</f>
        <v/>
      </c>
      <c r="J73" s="276" t="n">
        <v>47</v>
      </c>
      <c r="K73" s="276" t="n">
        <v>5241</v>
      </c>
      <c r="L73" s="276" t="n">
        <v>3552</v>
      </c>
      <c r="M73" s="276" t="n">
        <v>488</v>
      </c>
      <c r="N73" s="276" t="n">
        <v>164</v>
      </c>
    </row>
    <row r="74" ht="18" customHeight="1" s="63">
      <c r="C74" s="277" t="n">
        <v>50</v>
      </c>
      <c r="D74" s="277" t="n">
        <v>20</v>
      </c>
      <c r="E74" s="280" t="n">
        <v>2041.2</v>
      </c>
      <c r="F74" s="281">
        <f>E74/4375.1-1</f>
        <v/>
      </c>
      <c r="G74" s="280" t="n">
        <v>83.09999999999999</v>
      </c>
      <c r="H74" s="280" t="n">
        <v>95.8</v>
      </c>
      <c r="I74" s="280">
        <f>G74+H74</f>
        <v/>
      </c>
      <c r="J74" s="277" t="n">
        <v>46</v>
      </c>
      <c r="K74" s="277" t="n">
        <v>5238</v>
      </c>
      <c r="L74" s="277" t="n">
        <v>3696</v>
      </c>
      <c r="M74" s="277" t="n">
        <v>554</v>
      </c>
      <c r="N74" s="277" t="n">
        <v>164</v>
      </c>
    </row>
    <row r="75" ht="18" customHeight="1" s="63">
      <c r="C75" s="276" t="n">
        <v>60</v>
      </c>
      <c r="D75" s="276" t="n">
        <v>18</v>
      </c>
      <c r="E75" s="278" t="n">
        <v>2153.9</v>
      </c>
      <c r="F75" s="279">
        <f>E75/4375.1-1</f>
        <v/>
      </c>
      <c r="G75" s="278" t="n">
        <v>84.09999999999999</v>
      </c>
      <c r="H75" s="278" t="n">
        <v>95.8</v>
      </c>
      <c r="I75" s="278">
        <f>G75+H75</f>
        <v/>
      </c>
      <c r="J75" s="276" t="n">
        <v>45</v>
      </c>
      <c r="K75" s="276" t="n">
        <v>5236</v>
      </c>
      <c r="L75" s="276" t="n">
        <v>3744</v>
      </c>
      <c r="M75" s="276" t="n">
        <v>592</v>
      </c>
      <c r="N75" s="276" t="n">
        <v>245</v>
      </c>
    </row>
    <row r="76" ht="18" customHeight="1" s="63">
      <c r="C76" s="277" t="n">
        <v>80</v>
      </c>
      <c r="D76" s="277" t="n">
        <v>17</v>
      </c>
      <c r="E76" s="280" t="n">
        <v>2215.1</v>
      </c>
      <c r="F76" s="281">
        <f>E76/4375.1-1</f>
        <v/>
      </c>
      <c r="G76" s="280" t="n">
        <v>84.7</v>
      </c>
      <c r="H76" s="280" t="n">
        <v>95.8</v>
      </c>
      <c r="I76" s="280">
        <f>G76+H76</f>
        <v/>
      </c>
      <c r="J76" s="277" t="n">
        <v>44</v>
      </c>
      <c r="K76" s="277" t="n">
        <v>5234</v>
      </c>
      <c r="L76" s="277" t="n">
        <v>3600</v>
      </c>
      <c r="M76" s="277" t="n">
        <v>614</v>
      </c>
      <c r="N76" s="277" t="n">
        <v>245</v>
      </c>
    </row>
    <row r="77" ht="14" customHeight="1" s="63">
      <c r="B77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9" ht="28" customHeight="1" s="63">
      <c r="B79" s="111" t="inlineStr">
        <is>
          <t>ОРШ, шт</t>
        </is>
      </c>
      <c r="C79" s="111" t="inlineStr">
        <is>
          <t>Волокно-км</t>
        </is>
      </c>
      <c r="D79" s="111" t="inlineStr">
        <is>
          <t>Индекс стоимости (с шкафами), у.е.</t>
        </is>
      </c>
    </row>
    <row r="80">
      <c r="B80" s="262" t="n">
        <v>17</v>
      </c>
      <c r="C80" s="264" t="n">
        <v>2215.1</v>
      </c>
      <c r="D80" s="264" t="n">
        <v>527.3</v>
      </c>
    </row>
    <row r="81">
      <c r="B81" s="263" t="n">
        <v>18</v>
      </c>
      <c r="C81" s="266" t="n">
        <v>2153.9</v>
      </c>
      <c r="D81" s="266" t="n">
        <v>529.8</v>
      </c>
    </row>
    <row r="82">
      <c r="B82" s="262" t="n">
        <v>20</v>
      </c>
      <c r="C82" s="264" t="n">
        <v>2041.2</v>
      </c>
      <c r="D82" s="264" t="n">
        <v>527.5</v>
      </c>
    </row>
    <row r="83">
      <c r="B83" s="263" t="n">
        <v>24</v>
      </c>
      <c r="C83" s="266" t="n">
        <v>1852</v>
      </c>
      <c r="D83" s="266" t="n">
        <v>524.2</v>
      </c>
    </row>
    <row r="84">
      <c r="B84" s="262" t="n">
        <v>27</v>
      </c>
      <c r="C84" s="264" t="n">
        <v>1736.2</v>
      </c>
      <c r="D84" s="264" t="n">
        <v>524.4</v>
      </c>
    </row>
    <row r="85">
      <c r="B85" s="263" t="n">
        <v>29</v>
      </c>
      <c r="C85" s="266" t="n">
        <v>1674.7</v>
      </c>
      <c r="D85" s="266" t="n">
        <v>527.9</v>
      </c>
    </row>
    <row r="86">
      <c r="B86" s="262" t="n">
        <v>32</v>
      </c>
      <c r="C86" s="264" t="n">
        <v>1603.9</v>
      </c>
      <c r="D86" s="264" t="n">
        <v>531.7</v>
      </c>
    </row>
    <row r="87">
      <c r="B87" s="263" t="n">
        <v>34</v>
      </c>
      <c r="C87" s="266" t="n">
        <v>1562.5</v>
      </c>
      <c r="D87" s="266" t="n">
        <v>533.2</v>
      </c>
    </row>
    <row r="88">
      <c r="B88" s="262" t="n">
        <v>36</v>
      </c>
      <c r="C88" s="264" t="n">
        <v>1532.5</v>
      </c>
      <c r="D88" s="264" t="n">
        <v>539.3</v>
      </c>
    </row>
    <row r="89">
      <c r="B89" s="263" t="n">
        <v>39</v>
      </c>
      <c r="C89" s="266" t="n">
        <v>1500.8</v>
      </c>
      <c r="D89" s="266" t="n">
        <v>544.4</v>
      </c>
    </row>
    <row r="90">
      <c r="B90" s="262" t="n">
        <v>43</v>
      </c>
      <c r="C90" s="264" t="n">
        <v>1476.5</v>
      </c>
      <c r="D90" s="264" t="n">
        <v>553</v>
      </c>
    </row>
    <row r="91">
      <c r="B91" s="263" t="n">
        <v>48</v>
      </c>
      <c r="C91" s="266" t="n">
        <v>1460.2</v>
      </c>
      <c r="D91" s="266" t="n">
        <v>563.9</v>
      </c>
    </row>
    <row r="93" ht="24" customHeight="1" s="63">
      <c r="B93" s="108" t="n"/>
      <c r="C93" s="108" t="inlineStr">
        <is>
          <t>Г. Сравнение четырёх схем — A / B / C / D</t>
        </is>
      </c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28" customHeight="1" s="63">
      <c r="C94" s="111" t="inlineStr">
        <is>
          <t>Показатель</t>
        </is>
      </c>
      <c r="D94" s="111" t="inlineStr">
        <is>
          <t>A: централизо-ванная 1:64</t>
        </is>
      </c>
      <c r="E94" s="111" t="inlineStr">
        <is>
          <t>B: каскад 1:8+1:8</t>
        </is>
      </c>
      <c r="F94" s="111" t="inlineStr">
        <is>
          <t>C: каскад 1:4+1:16</t>
        </is>
      </c>
      <c r="G94" s="111" t="inlineStr">
        <is>
          <t>D: зонные ОРШ 1:64</t>
        </is>
      </c>
      <c r="H94" s="111" t="inlineStr">
        <is>
          <t>Лучшая</t>
        </is>
      </c>
    </row>
    <row r="95" ht="18" customHeight="1" s="63">
      <c r="C95" s="112" t="inlineStr">
        <is>
          <t>Обслужено ДХ, шт</t>
        </is>
      </c>
      <c r="D95" s="276" t="n">
        <v>3052</v>
      </c>
      <c r="E95" s="276" t="n">
        <v>3052</v>
      </c>
      <c r="F95" s="276" t="n">
        <v>3052</v>
      </c>
      <c r="G95" s="276" t="n">
        <v>3052</v>
      </c>
      <c r="H95" s="285" t="n"/>
    </row>
    <row r="96" ht="18" customHeight="1" s="63">
      <c r="C96" s="114" t="inlineStr">
        <is>
          <t>Волокно-км</t>
        </is>
      </c>
      <c r="D96" s="280" t="n">
        <v>4375.1</v>
      </c>
      <c r="E96" s="280" t="n">
        <v>1256.1</v>
      </c>
      <c r="F96" s="280" t="n">
        <v>889.2</v>
      </c>
      <c r="G96" s="280" t="n">
        <v>1491.1</v>
      </c>
      <c r="H96" s="286">
        <f>CHOOSE(MATCH(MIN(D96:G96),D96:G96,0),"A","B","C","D")</f>
        <v/>
      </c>
    </row>
    <row r="97" ht="18" customHeight="1" s="63">
      <c r="C97" s="112" t="inlineStr">
        <is>
          <t>Волокно-км на ДХ, км</t>
        </is>
      </c>
      <c r="D97" s="287">
        <f>D96/3052</f>
        <v/>
      </c>
      <c r="E97" s="287">
        <f>E96/3052</f>
        <v/>
      </c>
      <c r="F97" s="287">
        <f>F96/3052</f>
        <v/>
      </c>
      <c r="G97" s="287">
        <f>G96/3052</f>
        <v/>
      </c>
      <c r="H97" s="285">
        <f>CHOOSE(MATCH(MIN(D97:G97),D97:G97,0),"A","B","C","D")</f>
        <v/>
      </c>
    </row>
    <row r="98" ht="18" customHeight="1" s="63">
      <c r="C98" s="114" t="inlineStr">
        <is>
          <t>Магистральный кабель, км</t>
        </is>
      </c>
      <c r="D98" s="280" t="n">
        <v>109.4</v>
      </c>
      <c r="E98" s="280" t="n">
        <v>76.5</v>
      </c>
      <c r="F98" s="280" t="n">
        <v>71.09999999999999</v>
      </c>
      <c r="G98" s="280" t="n">
        <v>92.90000000000001</v>
      </c>
      <c r="H98" s="286">
        <f>CHOOSE(MATCH(MIN(D98:G98),D98:G98,0),"A","B","C","D")</f>
        <v/>
      </c>
    </row>
    <row r="99" ht="18" customHeight="1" s="63">
      <c r="C99" s="112" t="inlineStr">
        <is>
          <t>в т.ч. 8-волоконный, км</t>
        </is>
      </c>
      <c r="D99" s="278" t="n">
        <v>35.1</v>
      </c>
      <c r="E99" s="278" t="n">
        <v>46.7</v>
      </c>
      <c r="F99" s="278" t="n">
        <v>49.5</v>
      </c>
      <c r="G99" s="278" t="n">
        <v>42.7</v>
      </c>
      <c r="H99" s="285" t="n"/>
    </row>
    <row r="100" ht="18" customHeight="1" s="63">
      <c r="C100" s="114" t="inlineStr">
        <is>
          <t>в т.ч. 96-волоконный, км</t>
        </is>
      </c>
      <c r="D100" s="280" t="n">
        <v>33.8</v>
      </c>
      <c r="E100" s="280" t="n">
        <v>1.5</v>
      </c>
      <c r="F100" s="280" t="n">
        <v>0.9</v>
      </c>
      <c r="G100" s="280" t="n">
        <v>0.6</v>
      </c>
      <c r="H100" s="286" t="n"/>
    </row>
    <row r="101" ht="18" customHeight="1" s="63">
      <c r="C101" s="112" t="inlineStr">
        <is>
          <t>Дроп-кабель, км</t>
        </is>
      </c>
      <c r="D101" s="278" t="n">
        <v>95.8</v>
      </c>
      <c r="E101" s="278" t="n">
        <v>170.7</v>
      </c>
      <c r="F101" s="278" t="n">
        <v>244</v>
      </c>
      <c r="G101" s="278" t="n">
        <v>125.3</v>
      </c>
      <c r="H101" s="285">
        <f>CHOOSE(MATCH(MIN(D101:G101),D101:G101,0),"A","B","C","D")</f>
        <v/>
      </c>
    </row>
    <row r="102" ht="18" customHeight="1" s="63">
      <c r="C102" s="114" t="inlineStr">
        <is>
          <t>ВСЕГО кабель + дропы, км</t>
        </is>
      </c>
      <c r="D102" s="280">
        <f>D98+D101</f>
        <v/>
      </c>
      <c r="E102" s="280">
        <f>E98+E101</f>
        <v/>
      </c>
      <c r="F102" s="280">
        <f>F98+F101</f>
        <v/>
      </c>
      <c r="G102" s="280">
        <f>G98+G101</f>
        <v/>
      </c>
      <c r="H102" s="286">
        <f>CHOOSE(MATCH(MIN(D102:G102),D102:G102,0),"A","B","C","D")</f>
        <v/>
      </c>
    </row>
    <row r="103" ht="18" customHeight="1" s="63">
      <c r="C103" s="112" t="inlineStr">
        <is>
          <t>Средний дроп, м</t>
        </is>
      </c>
      <c r="D103" s="276" t="n">
        <v>29.8</v>
      </c>
      <c r="E103" s="276" t="n">
        <v>53.2</v>
      </c>
      <c r="F103" s="276" t="n">
        <v>76.09999999999999</v>
      </c>
      <c r="G103" s="276" t="n">
        <v>39</v>
      </c>
      <c r="H103" s="285">
        <f>CHOOSE(MATCH(MIN(D103:G103),D103:G103,0),"A","B","C","D")</f>
        <v/>
      </c>
    </row>
    <row r="104" ht="18" customHeight="1" s="63">
      <c r="C104" s="114" t="inlineStr">
        <is>
          <t>Максимальный дроп, м</t>
        </is>
      </c>
      <c r="D104" s="277" t="n">
        <v>132.5</v>
      </c>
      <c r="E104" s="277" t="n">
        <v>201</v>
      </c>
      <c r="F104" s="277" t="n">
        <v>266</v>
      </c>
      <c r="G104" s="277" t="n">
        <v>132.5</v>
      </c>
      <c r="H104" s="286">
        <f>CHOOSE(MATCH(MIN(D104:G104),D104:G104,0),"A","B","C","D")</f>
        <v/>
      </c>
    </row>
    <row r="105" ht="18" customHeight="1" s="63">
      <c r="C105" s="112" t="inlineStr">
        <is>
          <t>Ср. маршрут волокна ДХ, м</t>
        </is>
      </c>
      <c r="D105" s="276" t="n">
        <v>1361</v>
      </c>
      <c r="E105" s="276" t="n"/>
      <c r="F105" s="276" t="n"/>
      <c r="G105" s="276" t="n">
        <v>279</v>
      </c>
      <c r="H105" s="285">
        <f>CHOOSE(MATCH(MIN(D105:G105),D105:G105,0),"A","B","C","D")</f>
        <v/>
      </c>
    </row>
    <row r="106" ht="18" customHeight="1" s="63">
      <c r="C106" s="114" t="inlineStr">
        <is>
          <t>ОРШ, шт</t>
        </is>
      </c>
      <c r="D106" s="277" t="n">
        <v>6</v>
      </c>
      <c r="E106" s="277" t="n">
        <v>6</v>
      </c>
      <c r="F106" s="277" t="n">
        <v>6</v>
      </c>
      <c r="G106" s="277" t="n">
        <v>42</v>
      </c>
      <c r="H106" s="286">
        <f>CHOOSE(MATCH(MIN(D106:G106),D106:G106,0),"A","B","C","D")</f>
        <v/>
      </c>
    </row>
    <row r="107" ht="18" customHeight="1" s="63">
      <c r="C107" s="112" t="inlineStr">
        <is>
          <t>РОР, шт</t>
        </is>
      </c>
      <c r="D107" s="276" t="n">
        <v>0</v>
      </c>
      <c r="E107" s="276" t="n">
        <v>515</v>
      </c>
      <c r="F107" s="276" t="n">
        <v>323</v>
      </c>
      <c r="G107" s="276" t="n">
        <v>0</v>
      </c>
      <c r="H107" s="285" t="n"/>
    </row>
    <row r="108" ht="18" customHeight="1" s="63">
      <c r="C108" s="114" t="inlineStr">
        <is>
          <t>Сплиттеры 1:64, шт</t>
        </is>
      </c>
      <c r="D108" s="277" t="n">
        <v>39</v>
      </c>
      <c r="E108" s="277" t="n">
        <v>0</v>
      </c>
      <c r="F108" s="277" t="n">
        <v>0</v>
      </c>
      <c r="G108" s="277" t="n">
        <v>64</v>
      </c>
      <c r="H108" s="286" t="n"/>
    </row>
    <row r="109" ht="18" customHeight="1" s="63">
      <c r="C109" s="112" t="inlineStr">
        <is>
          <t>Сплиттеры 1:8, шт</t>
        </is>
      </c>
      <c r="D109" s="276" t="n">
        <v>0</v>
      </c>
      <c r="E109" s="276" t="n">
        <v>581</v>
      </c>
      <c r="F109" s="276" t="n">
        <v>0</v>
      </c>
      <c r="G109" s="276" t="n">
        <v>0</v>
      </c>
      <c r="H109" s="285" t="n"/>
    </row>
    <row r="110" ht="18" customHeight="1" s="63">
      <c r="C110" s="114" t="inlineStr">
        <is>
          <t>Сплиттеры 1:4, шт</t>
        </is>
      </c>
      <c r="D110" s="277" t="n">
        <v>0</v>
      </c>
      <c r="E110" s="277" t="n">
        <v>0</v>
      </c>
      <c r="F110" s="277" t="n">
        <v>83</v>
      </c>
      <c r="G110" s="277" t="n">
        <v>0</v>
      </c>
      <c r="H110" s="286" t="n"/>
    </row>
    <row r="111" ht="18" customHeight="1" s="63">
      <c r="C111" s="112" t="inlineStr">
        <is>
          <t>Сплиттеры 1:16, шт</t>
        </is>
      </c>
      <c r="D111" s="276" t="n">
        <v>0</v>
      </c>
      <c r="E111" s="276" t="n">
        <v>0</v>
      </c>
      <c r="F111" s="276" t="n">
        <v>323</v>
      </c>
      <c r="G111" s="276" t="n">
        <v>0</v>
      </c>
      <c r="H111" s="285" t="n"/>
    </row>
    <row r="112" ht="18" customHeight="1" s="63">
      <c r="C112" s="114" t="inlineStr">
        <is>
          <t>Муфты, шт</t>
        </is>
      </c>
      <c r="D112" s="277" t="n">
        <v>1140</v>
      </c>
      <c r="E112" s="277" t="n">
        <v>115</v>
      </c>
      <c r="F112" s="277" t="n">
        <v>100</v>
      </c>
      <c r="G112" s="277" t="n">
        <v>1104</v>
      </c>
      <c r="H112" s="286">
        <f>CHOOSE(MATCH(MIN(D112:G112),D112:G112,0),"A","B","C","D")</f>
        <v/>
      </c>
    </row>
    <row r="113" ht="18" customHeight="1" s="63">
      <c r="C113" s="112" t="inlineStr">
        <is>
          <t>Сварки, шт</t>
        </is>
      </c>
      <c r="D113" s="276" t="n">
        <v>5136</v>
      </c>
      <c r="E113" s="276" t="n">
        <v>2585</v>
      </c>
      <c r="F113" s="276" t="n">
        <v>1552</v>
      </c>
      <c r="G113" s="276" t="n">
        <v>6859</v>
      </c>
      <c r="H113" s="285">
        <f>CHOOSE(MATCH(MIN(D113:G113),D113:G113,0),"A","B","C","D")</f>
        <v/>
      </c>
    </row>
    <row r="114" ht="18" customHeight="1" s="63">
      <c r="C114" s="114" t="inlineStr">
        <is>
          <t>Коннекторы FAST, шт</t>
        </is>
      </c>
      <c r="D114" s="277" t="n">
        <v>2569</v>
      </c>
      <c r="E114" s="277" t="n">
        <v>5136</v>
      </c>
      <c r="F114" s="277" t="n">
        <v>5136</v>
      </c>
      <c r="G114" s="277" t="n">
        <v>3360</v>
      </c>
      <c r="H114" s="286">
        <f>CHOOSE(MATCH(MIN(D114:G114),D114:G114,0),"A","B","C","D")</f>
        <v/>
      </c>
    </row>
    <row r="115" ht="18" customHeight="1" s="63">
      <c r="C115" s="112" t="inlineStr">
        <is>
          <t>Порты кросса ОРШ, шт</t>
        </is>
      </c>
      <c r="D115" s="276" t="n">
        <v>3600</v>
      </c>
      <c r="E115" s="276" t="n">
        <v>1008</v>
      </c>
      <c r="F115" s="276" t="n">
        <v>864</v>
      </c>
      <c r="G115" s="276" t="n">
        <v>5040</v>
      </c>
      <c r="H115" s="285">
        <f>CHOOSE(MATCH(MIN(D115:G115),D115:G115,0),"A","B","C","D")</f>
        <v/>
      </c>
    </row>
    <row r="116" ht="18" customHeight="1" s="63">
      <c r="C116" s="114" t="inlineStr">
        <is>
          <t>Порты OLT, шт</t>
        </is>
      </c>
      <c r="D116" s="277" t="n">
        <v>39</v>
      </c>
      <c r="E116" s="277" t="n">
        <v>66</v>
      </c>
      <c r="F116" s="277" t="n">
        <v>83</v>
      </c>
      <c r="G116" s="277" t="n">
        <v>64</v>
      </c>
      <c r="H116" s="286">
        <f>CHOOSE(MATCH(MIN(D116:G116),D116:G116,0),"A","B","C","D")</f>
        <v/>
      </c>
    </row>
    <row r="117" ht="18" customHeight="1" s="63">
      <c r="C117" s="112" t="inlineStr">
        <is>
          <t>Комплекты подвеса, шт</t>
        </is>
      </c>
      <c r="D117" s="276" t="n">
        <v>2911</v>
      </c>
      <c r="E117" s="276" t="n">
        <v>4180</v>
      </c>
      <c r="F117" s="276" t="n">
        <v>6136</v>
      </c>
      <c r="G117" s="276" t="n">
        <v>2472</v>
      </c>
      <c r="H117" s="285">
        <f>CHOOSE(MATCH(MIN(D117:G117),D117:G117,0),"A","B","C","D")</f>
        <v/>
      </c>
    </row>
    <row r="118" ht="18" customHeight="1" s="63">
      <c r="C118" s="114" t="inlineStr">
        <is>
          <t>Доп. шкафы ОРШ (сверх 6), шт</t>
        </is>
      </c>
      <c r="D118" s="277" t="n">
        <v>0</v>
      </c>
      <c r="E118" s="277" t="n">
        <v>0</v>
      </c>
      <c r="F118" s="277" t="n">
        <v>0</v>
      </c>
      <c r="G118" s="277" t="n">
        <v>36</v>
      </c>
      <c r="H118" s="286">
        <f>CHOOSE(MATCH(MIN(D118:G118),D118:G118,0),"A","B","C","D")</f>
        <v/>
      </c>
    </row>
    <row r="119" ht="14" customHeight="1" s="63">
      <c r="B119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21" ht="24" customHeight="1" s="63">
      <c r="B121" s="108" t="n"/>
      <c r="C121" s="108" t="inlineStr">
        <is>
          <t>Д. Ориентировочный индекс стоимости и чувствительность к цене ёмкости</t>
        </is>
      </c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28" customHeight="1" s="63">
      <c r="C122" s="111" t="inlineStr">
        <is>
          <t>Составляющая, у.е. (1 км кабеля 8F)</t>
        </is>
      </c>
      <c r="D122" s="111" t="inlineStr">
        <is>
          <t>A: централизо-ванная</t>
        </is>
      </c>
      <c r="E122" s="111" t="inlineStr">
        <is>
          <t>B: каскад 1:8+1:8</t>
        </is>
      </c>
      <c r="F122" s="111" t="inlineStr">
        <is>
          <t>C: каскад 1:4+1:16</t>
        </is>
      </c>
      <c r="G122" s="111" t="inlineStr">
        <is>
          <t>D: зонные ОРШ</t>
        </is>
      </c>
    </row>
    <row r="123" ht="18" customHeight="1" s="63">
      <c r="C123" s="112" t="inlineStr">
        <is>
          <t>Кабельная продукция (магистраль)</t>
        </is>
      </c>
      <c r="D123" s="278" t="n">
        <v>233</v>
      </c>
      <c r="E123" s="278" t="n">
        <v>107</v>
      </c>
      <c r="F123" s="278" t="n">
        <v>88.90000000000001</v>
      </c>
      <c r="G123" s="278" t="n">
        <v>132.3</v>
      </c>
    </row>
    <row r="124" ht="18" customHeight="1" s="63">
      <c r="C124" s="114" t="inlineStr">
        <is>
          <t>Дроп-кабели</t>
        </is>
      </c>
      <c r="D124" s="280" t="n">
        <v>47.9</v>
      </c>
      <c r="E124" s="280" t="n">
        <v>85.3</v>
      </c>
      <c r="F124" s="280" t="n">
        <v>122</v>
      </c>
      <c r="G124" s="280" t="n">
        <v>62.6</v>
      </c>
    </row>
    <row r="125" ht="18" customHeight="1" s="63">
      <c r="C125" s="112" t="inlineStr">
        <is>
          <t>Оборудование и монтаж</t>
        </is>
      </c>
      <c r="D125" s="278" t="n">
        <v>315</v>
      </c>
      <c r="E125" s="278" t="n">
        <v>306.2</v>
      </c>
      <c r="F125" s="278" t="n">
        <v>270.8</v>
      </c>
      <c r="G125" s="278" t="n">
        <v>368.8</v>
      </c>
    </row>
    <row r="126">
      <c r="C126" s="108" t="inlineStr">
        <is>
          <t>ИТОГО</t>
        </is>
      </c>
      <c r="D126" s="132">
        <f>SUM(D123:D125)</f>
        <v/>
      </c>
      <c r="E126" s="132">
        <f>SUM(E123:E125)</f>
        <v/>
      </c>
      <c r="F126" s="132">
        <f>SUM(F123:F125)</f>
        <v/>
      </c>
      <c r="G126" s="132">
        <f>SUM(G123:G125)</f>
        <v/>
      </c>
    </row>
    <row r="127">
      <c r="C127" s="114" t="inlineStr">
        <is>
          <t>Доп. шкафы ОРШ (сверх базовых 6, по 1,5 у.е.)</t>
        </is>
      </c>
      <c r="D127" s="280" t="n">
        <v>0</v>
      </c>
      <c r="E127" s="280" t="n">
        <v>0</v>
      </c>
      <c r="F127" s="280" t="n">
        <v>0</v>
      </c>
      <c r="G127" s="280" t="n">
        <v>54</v>
      </c>
    </row>
    <row r="128">
      <c r="C128" s="108" t="inlineStr">
        <is>
          <t>ИТОГО с доп. шкафами</t>
        </is>
      </c>
      <c r="D128" s="132">
        <f>D126+D127</f>
        <v/>
      </c>
      <c r="E128" s="132">
        <f>E126+E127</f>
        <v/>
      </c>
      <c r="F128" s="132">
        <f>F126+F127</f>
        <v/>
      </c>
      <c r="G128" s="132">
        <f>G126+G127</f>
        <v/>
      </c>
    </row>
    <row r="129">
      <c r="C129" s="112" t="inlineStr">
        <is>
          <t>Δ к лучшей схеме</t>
        </is>
      </c>
      <c r="D129" s="279">
        <f>D128/MIN($D$128:$G$128)-1</f>
        <v/>
      </c>
      <c r="E129" s="279">
        <f>E128/MIN($D$128:$G$128)-1</f>
        <v/>
      </c>
      <c r="F129" s="279">
        <f>F128/MIN($D$128:$G$128)-1</f>
        <v/>
      </c>
      <c r="G129" s="279">
        <f>G128/MIN($D$128:$G$128)-1</f>
        <v/>
      </c>
    </row>
    <row r="130" ht="14" customHeight="1" s="63">
      <c r="B130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32" ht="28" customHeight="1" s="63">
      <c r="C132" s="111" t="inlineStr">
        <is>
          <t>Показатель цены k</t>
        </is>
      </c>
      <c r="D132" s="111" t="inlineStr">
        <is>
          <t>A: централизо-ванная</t>
        </is>
      </c>
      <c r="E132" s="111" t="inlineStr">
        <is>
          <t>B: каскад 1:8+1:8</t>
        </is>
      </c>
      <c r="F132" s="111" t="inlineStr">
        <is>
          <t>C: каскад 1:4+1:16</t>
        </is>
      </c>
      <c r="G132" s="111" t="inlineStr">
        <is>
          <t>D: зонные ОРШ</t>
        </is>
      </c>
      <c r="H132" s="111" t="inlineStr">
        <is>
          <t>Лучшая</t>
        </is>
      </c>
    </row>
    <row r="133" ht="18" customHeight="1" s="63">
      <c r="C133" s="288" t="n">
        <v>0</v>
      </c>
      <c r="D133" s="276" t="n">
        <v>520.2</v>
      </c>
      <c r="E133" s="276" t="n">
        <v>553.4</v>
      </c>
      <c r="F133" s="276" t="n">
        <v>585.9</v>
      </c>
      <c r="G133" s="276" t="n">
        <v>641</v>
      </c>
      <c r="H133" s="285">
        <f>CHOOSE(MATCH(MIN(D133:G133),D133:G133,0),"A","B","C","D")</f>
        <v/>
      </c>
    </row>
    <row r="134" ht="18" customHeight="1" s="63">
      <c r="C134" s="289" t="n">
        <v>0.3</v>
      </c>
      <c r="D134" s="277" t="n">
        <v>545.2</v>
      </c>
      <c r="E134" s="277" t="n">
        <v>510.5</v>
      </c>
      <c r="F134" s="277" t="n">
        <v>511.9</v>
      </c>
      <c r="G134" s="277" t="n">
        <v>618.6</v>
      </c>
      <c r="H134" s="286">
        <f>CHOOSE(MATCH(MIN(D134:G134),D134:G134,0),"A","B","C","D")</f>
        <v/>
      </c>
    </row>
    <row r="135" ht="18" customHeight="1" s="63">
      <c r="C135" s="288" t="n">
        <v>0.5</v>
      </c>
      <c r="D135" s="276" t="n">
        <v>595.9</v>
      </c>
      <c r="E135" s="276" t="n">
        <v>498.6</v>
      </c>
      <c r="F135" s="276" t="n">
        <v>481.6</v>
      </c>
      <c r="G135" s="276" t="n">
        <v>617.8</v>
      </c>
      <c r="H135" s="285">
        <f>CHOOSE(MATCH(MIN(D135:G135),D135:G135,0),"A","B","C","D")</f>
        <v/>
      </c>
    </row>
    <row r="136" ht="18" customHeight="1" s="63">
      <c r="C136" s="289" t="n">
        <v>0.7</v>
      </c>
      <c r="D136" s="277" t="n">
        <v>688</v>
      </c>
      <c r="E136" s="277" t="n">
        <v>500.1</v>
      </c>
      <c r="F136" s="277" t="n">
        <v>464</v>
      </c>
      <c r="G136" s="277" t="n">
        <v>628.5</v>
      </c>
      <c r="H136" s="286">
        <f>CHOOSE(MATCH(MIN(D136:G136),D136:G136,0),"A","B","C","D")</f>
        <v/>
      </c>
    </row>
    <row r="137" ht="18" customHeight="1" s="63">
      <c r="C137" s="288" t="n">
        <v>1</v>
      </c>
      <c r="D137" s="276" t="n">
        <v>955</v>
      </c>
      <c r="E137" s="276" t="n">
        <v>531.4</v>
      </c>
      <c r="F137" s="276" t="n">
        <v>459.4</v>
      </c>
      <c r="G137" s="276" t="n">
        <v>669.9</v>
      </c>
      <c r="H137" s="285">
        <f>CHOOSE(MATCH(MIN(D137:G137),D137:G137,0),"A","B","C","D")</f>
        <v/>
      </c>
    </row>
    <row r="138" ht="14" customHeight="1" s="63">
      <c r="B138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40" ht="24" customHeight="1" s="63">
      <c r="B140" s="108" t="n"/>
      <c r="C140" s="108" t="inlineStr">
        <is>
          <t>Е. Вывод</t>
        </is>
      </c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36" customHeight="1" s="63">
      <c r="B141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42" ht="50" customHeight="1" s="63">
      <c r="B142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43" ht="50" customHeight="1" s="63">
      <c r="B143" s="135" t="inlineStr">
        <is>
          <t>Цена децентрализации — оборудование: 42 ОРШ вместо 6 (36 доп. шкафов, +54 у.е.), 64 сплиттера, 5 040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4" ht="36" customHeight="1" s="63">
      <c r="B144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5" ht="50" customHeight="1" s="63">
      <c r="B145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6" ht="50" customHeight="1" s="63">
      <c r="B146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46:N146"/>
    <mergeCell ref="B143:N143"/>
    <mergeCell ref="D10:N10"/>
    <mergeCell ref="B142:N142"/>
    <mergeCell ref="D6:N6"/>
    <mergeCell ref="B144:N144"/>
    <mergeCell ref="D11:N11"/>
    <mergeCell ref="B138:N138"/>
    <mergeCell ref="D13:N13"/>
    <mergeCell ref="B141:N141"/>
    <mergeCell ref="D7:N7"/>
    <mergeCell ref="B130:N130"/>
    <mergeCell ref="B77:N77"/>
    <mergeCell ref="B2:N2"/>
    <mergeCell ref="D9:N9"/>
    <mergeCell ref="B145:N145"/>
    <mergeCell ref="D12:N12"/>
    <mergeCell ref="D8:N8"/>
    <mergeCell ref="B61:N61"/>
    <mergeCell ref="B119:N119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/>
    <row r="50" ht="64" customHeight="1" s="63"/>
    <row r="51" ht="78" customHeight="1" s="63"/>
    <row r="52" ht="78" customHeight="1" s="63"/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2026-09-25T05:46:59Z</dcterms:modified>
  <cp:revision>18</cp:revision>
</cp:coreProperties>
</file>