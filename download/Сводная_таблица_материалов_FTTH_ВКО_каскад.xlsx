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Сводная (схема D)" sheetId="2" state="visible" r:id="rId2"/>
    <sheet xmlns:r="http://schemas.openxmlformats.org/officeDocument/2006/relationships" name="Параметры сетей" sheetId="3" state="visible" r:id="rId3"/>
    <sheet xmlns:r="http://schemas.openxmlformats.org/officeDocument/2006/relationships" name="Сравнение схем" sheetId="4" state="visible" r:id="rId4"/>
    <sheet xmlns:r="http://schemas.openxmlformats.org/officeDocument/2006/relationships" name="Оптимум по длине" sheetId="5" state="visible" r:id="rId5"/>
    <sheet xmlns:r="http://schemas.openxmlformats.org/officeDocument/2006/relationships" name="Децентрализация ОРШ" sheetId="6" state="visible" r:id="rId6"/>
    <sheet xmlns:r="http://schemas.openxmlformats.org/officeDocument/2006/relationships" name="Проверка волокно-км" sheetId="7" state="visible" r:id="rId7"/>
    <sheet xmlns:r="http://schemas.openxmlformats.org/officeDocument/2006/relationships" name="Методика" sheetId="8" state="visible" r:id="rId8"/>
  </sheets>
  <definedNames>
    <definedName name="_xlnm.Print_Titles" localSheetId="0">'Сводная'!$4:$4</definedName>
    <definedName name="_xlnm.Print_Titles" localSheetId="1">'Сводная (схема D)'!$4:$4</definedName>
    <definedName name="_xlnm.Print_Titles" localSheetId="4">'Оптимум по длине'!$4:$4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\+0.0%;\-0.0%;0.0%"/>
    <numFmt numFmtId="166" formatCode="0.0"/>
    <numFmt numFmtId="167" formatCode="+0.0%;-0.0%;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A4A"/>
      <sz val="16"/>
    </font>
    <font>
      <name val="Calibri"/>
      <charset val="1"/>
      <family val="0"/>
      <color rgb="FF8C8A84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2A4A"/>
      <sz val="11"/>
    </font>
    <font>
      <name val="Calibri"/>
      <charset val="1"/>
      <family val="0"/>
      <color rgb="FF37352F"/>
      <sz val="11"/>
    </font>
    <font>
      <name val="Calibri"/>
      <charset val="1"/>
      <family val="0"/>
      <b val="1"/>
      <color rgb="FF1B7D46"/>
      <sz val="11"/>
    </font>
    <font>
      <name val="Calibri"/>
      <family val="2"/>
      <b val="1"/>
      <color rgb="FF000000"/>
      <sz val="12"/>
    </font>
    <font>
      <name val="Calibri"/>
      <family val="2"/>
      <color rgb="FF000000"/>
      <sz val="10"/>
    </font>
    <font>
      <name val="Calibri"/>
      <b val="1"/>
      <color rgb="001B2A4A"/>
      <sz val="16"/>
    </font>
    <font>
      <name val="Calibri"/>
      <color rgb="008C8A84"/>
      <sz val="9"/>
    </font>
    <font>
      <name val="Calibri"/>
      <b val="1"/>
      <color rgb="001B2A4A"/>
      <sz val="11"/>
    </font>
    <font>
      <name val="Calibri"/>
      <color rgb="0037352F"/>
      <sz val="11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E8F5E9"/>
        <bgColor rgb="FFE9E9E8"/>
      </patternFill>
    </fill>
    <fill>
      <patternFill patternType="solid">
        <fgColor rgb="FFFFF3CD"/>
        <bgColor rgb="FFF7F7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1B2A4A"/>
      </patternFill>
    </fill>
    <fill>
      <patternFill patternType="solid">
        <fgColor rgb="00FFF3CD"/>
      </patternFill>
    </fill>
  </fills>
  <borders count="4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bottom style="thin">
        <color rgb="00E9E9E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3" fontId="8" fillId="4" borderId="0" applyAlignment="1" pivotButton="0" quotePrefix="0" xfId="0">
      <alignment horizontal="right" vertical="center"/>
    </xf>
    <xf numFmtId="3" fontId="7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3" fontId="8" fillId="5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center" vertical="center"/>
    </xf>
    <xf numFmtId="166" fontId="8" fillId="5" borderId="0" applyAlignment="1" pivotButton="0" quotePrefix="0" xfId="0">
      <alignment horizontal="right" vertical="center"/>
    </xf>
    <xf numFmtId="4" fontId="8" fillId="5" borderId="0" applyAlignment="1" pivotButton="0" quotePrefix="0" xfId="0">
      <alignment horizontal="right" vertical="center"/>
    </xf>
    <xf numFmtId="0" fontId="7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166" fontId="7" fillId="3" borderId="2" applyAlignment="1" pivotButton="0" quotePrefix="0" xfId="0">
      <alignment horizontal="right" vertical="center"/>
    </xf>
    <xf numFmtId="4" fontId="7" fillId="3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3" fontId="9" fillId="6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166" fontId="7" fillId="3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3" fontId="7" fillId="3" borderId="2" applyAlignment="1" pivotButton="0" quotePrefix="0" xfId="0">
      <alignment horizontal="general" vertical="bottom"/>
    </xf>
    <xf numFmtId="2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 wrapText="1"/>
    </xf>
    <xf numFmtId="2" fontId="8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3" fontId="8" fillId="7" borderId="0" applyAlignment="1" pivotButton="0" quotePrefix="0" xfId="0">
      <alignment horizontal="right" vertical="center"/>
    </xf>
    <xf numFmtId="164" fontId="8" fillId="7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top"/>
    </xf>
    <xf numFmtId="0" fontId="8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3" fontId="8" fillId="4" borderId="0" applyAlignment="1" pivotButton="0" quotePrefix="0" xfId="0">
      <alignment horizontal="right" vertical="center"/>
    </xf>
    <xf numFmtId="3" fontId="7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3" fontId="8" fillId="5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center" vertical="center"/>
    </xf>
    <xf numFmtId="166" fontId="8" fillId="5" borderId="0" applyAlignment="1" pivotButton="0" quotePrefix="0" xfId="0">
      <alignment horizontal="right" vertical="center"/>
    </xf>
    <xf numFmtId="4" fontId="8" fillId="5" borderId="0" applyAlignment="1" pivotButton="0" quotePrefix="0" xfId="0">
      <alignment horizontal="right" vertical="center"/>
    </xf>
    <xf numFmtId="0" fontId="7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166" fontId="7" fillId="3" borderId="2" applyAlignment="1" pivotButton="0" quotePrefix="0" xfId="0">
      <alignment horizontal="right" vertical="center"/>
    </xf>
    <xf numFmtId="4" fontId="7" fillId="3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3" fontId="9" fillId="6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166" fontId="7" fillId="3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top" wrapText="1"/>
    </xf>
    <xf numFmtId="0" fontId="15" fillId="10" borderId="0" applyAlignment="1" pivotButton="0" quotePrefix="0" xfId="0">
      <alignment horizontal="left" vertical="top" wrapText="1"/>
    </xf>
    <xf numFmtId="0" fontId="16" fillId="11" borderId="3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left" vertical="center" wrapText="1"/>
    </xf>
    <xf numFmtId="3" fontId="15" fillId="9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left" vertical="center" wrapText="1"/>
    </xf>
    <xf numFmtId="3" fontId="15" fillId="10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right" vertical="center"/>
    </xf>
    <xf numFmtId="3" fontId="14" fillId="8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4" fontId="14" fillId="8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top" wrapText="1"/>
    </xf>
    <xf numFmtId="3" fontId="7" fillId="3" borderId="2" applyAlignment="1" pivotButton="0" quotePrefix="0" xfId="0">
      <alignment horizontal="general" vertical="bottom"/>
    </xf>
    <xf numFmtId="0" fontId="0" fillId="0" borderId="1" pivotButton="0" quotePrefix="0" xfId="0"/>
    <xf numFmtId="2" fontId="8" fillId="4" borderId="0" applyAlignment="1" pivotButton="0" quotePrefix="0" xfId="0">
      <alignment horizontal="right" vertical="center"/>
    </xf>
    <xf numFmtId="2" fontId="8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top"/>
    </xf>
    <xf numFmtId="0" fontId="8" fillId="4" borderId="0" applyAlignment="1" pivotButton="0" quotePrefix="0" xfId="0">
      <alignment horizontal="left" vertical="top" wrapText="1"/>
    </xf>
    <xf numFmtId="0" fontId="15" fillId="10" borderId="0" applyAlignment="1" pivotButton="0" quotePrefix="0" xfId="0">
      <alignment horizontal="center" vertical="top"/>
    </xf>
    <xf numFmtId="0" fontId="15" fillId="9" borderId="0" applyAlignment="1" pivotButton="0" quotePrefix="0" xfId="0">
      <alignment horizontal="center" vertical="top"/>
    </xf>
    <xf numFmtId="3" fontId="14" fillId="9" borderId="0" applyAlignment="1" pivotButton="0" quotePrefix="0" xfId="0">
      <alignment horizontal="right" vertical="center"/>
    </xf>
    <xf numFmtId="3" fontId="14" fillId="10" borderId="0" applyAlignment="1" pivotButton="0" quotePrefix="0" xfId="0">
      <alignment horizontal="right" vertical="center"/>
    </xf>
    <xf numFmtId="164" fontId="14" fillId="9" borderId="0" applyAlignment="1" pivotButton="0" quotePrefix="0" xfId="0">
      <alignment horizontal="right" vertical="center"/>
    </xf>
    <xf numFmtId="164" fontId="14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3" fontId="15" fillId="9" borderId="0" applyAlignment="1" pivotButton="0" quotePrefix="0" xfId="0">
      <alignment horizontal="right" vertical="center"/>
    </xf>
    <xf numFmtId="3" fontId="15" fillId="10" borderId="0" applyAlignment="1" pivotButton="0" quotePrefix="0" xfId="0">
      <alignment horizontal="right" vertical="center"/>
    </xf>
    <xf numFmtId="164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164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3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2" fontId="15" fillId="9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3B3B3"/>
      <rgbColor rgb="FF8C8A84"/>
      <rgbColor rgb="FF9999FF"/>
      <rgbColor rgb="FF993366"/>
      <rgbColor rgb="FFFFF3CD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9E9E8"/>
      <rgbColor rgb="FFF7F7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2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Суммарная длина и волокно-км в зависимости от радиуса РОР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'Оптимум по длине'!C50</f>
              <strCache>
                <ptCount val="1"/>
                <pt idx="0">
                  <v>Сумма, км (1:8+1:8)</v>
                </pt>
              </strCache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1960">
              <a:solidFill>
                <a:srgbClr val="1b2a4a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'Оптимум по длине'!$B$51:$B$59</f>
              <strCache>
                <ptCount val="9"/>
                <pt idx="0">
                  <v>0</v>
                </pt>
                <pt idx="1">
                  <v>50</v>
                </pt>
                <pt idx="2">
                  <v>75</v>
                </pt>
                <pt idx="3">
                  <v>100</v>
                </pt>
                <pt idx="4">
                  <v>125</v>
                </pt>
                <pt idx="5">
                  <v>150</v>
                </pt>
                <pt idx="6">
                  <v>175</v>
                </pt>
                <pt idx="7">
                  <v>200</v>
                </pt>
                <pt idx="8">
                  <v>250</v>
                </pt>
              </strCache>
            </strRef>
          </cat>
          <val>
            <numRef>
              <f>'Оптимум по длине'!$C$51:$C$59</f>
              <numCache>
                <formatCode>#,##0.0</formatCode>
                <ptCount val="9"/>
                <pt idx="0">
                  <v>185.1</v>
                </pt>
                <pt idx="1">
                  <v>191.2</v>
                </pt>
                <pt idx="2">
                  <v>228.4</v>
                </pt>
                <pt idx="3">
                  <v>247.2</v>
                </pt>
                <pt idx="4">
                  <v>266.6</v>
                </pt>
                <pt idx="5">
                  <v>289.6</v>
                </pt>
                <pt idx="6">
                  <v>316.1</v>
                </pt>
                <pt idx="7">
                  <v>341.6</v>
                </pt>
                <pt idx="8">
                  <v>389.7</v>
                </pt>
              </numCache>
            </numRef>
          </val>
          <smooth val="0"/>
        </ser>
        <ser>
          <idx val="1"/>
          <order val="1"/>
          <tx>
            <strRef>
              <f>'Оптимум по длине'!D50</f>
              <strCache>
                <ptCount val="1"/>
                <pt idx="0">
                  <v>Сумма, км (1:4+1:16)</v>
                </pt>
              </strCache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1960">
              <a:solidFill>
                <a:srgbClr val="1b7d4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'Оптимум по длине'!$B$51:$B$59</f>
              <strCache>
                <ptCount val="9"/>
                <pt idx="0">
                  <v>0</v>
                </pt>
                <pt idx="1">
                  <v>50</v>
                </pt>
                <pt idx="2">
                  <v>75</v>
                </pt>
                <pt idx="3">
                  <v>100</v>
                </pt>
                <pt idx="4">
                  <v>125</v>
                </pt>
                <pt idx="5">
                  <v>150</v>
                </pt>
                <pt idx="6">
                  <v>175</v>
                </pt>
                <pt idx="7">
                  <v>200</v>
                </pt>
                <pt idx="8">
                  <v>250</v>
                </pt>
              </strCache>
            </strRef>
          </cat>
          <val>
            <numRef>
              <f>'Оптимум по длине'!$D$51:$D$59</f>
              <numCache>
                <formatCode>#,##0.0</formatCode>
                <ptCount val="9"/>
                <pt idx="0">
                  <v>185.1</v>
                </pt>
                <pt idx="1">
                  <v>192.6</v>
                </pt>
                <pt idx="2">
                  <v>245.1</v>
                </pt>
                <pt idx="3">
                  <v>268.7</v>
                </pt>
                <pt idx="4">
                  <v>295.4</v>
                </pt>
                <pt idx="5">
                  <v>315.1</v>
                </pt>
                <pt idx="6">
                  <v>339.5</v>
                </pt>
                <pt idx="7">
                  <v>362.7</v>
                </pt>
                <pt idx="8">
                  <v>416.8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6734579"/>
        <axId val="25851058"/>
      </lineChart>
      <lineChart>
        <grouping val="standard"/>
        <varyColors val="0"/>
        <ser>
          <idx val="2"/>
          <order val="2"/>
          <tx>
            <strRef>
              <f>'Оптимум по длине'!E50</f>
              <strCache>
                <ptCount val="1"/>
                <pt idx="0">
                  <v>Волокно-км (1:4+1:16)</v>
                </pt>
              </strCache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1960">
              <a:solidFill>
                <a:srgbClr val="d4820a"/>
              </a:solidFill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'Оптимум по длине'!$B$51:$B$59</f>
              <strCache>
                <ptCount val="9"/>
                <pt idx="0">
                  <v>0</v>
                </pt>
                <pt idx="1">
                  <v>50</v>
                </pt>
                <pt idx="2">
                  <v>75</v>
                </pt>
                <pt idx="3">
                  <v>100</v>
                </pt>
                <pt idx="4">
                  <v>125</v>
                </pt>
                <pt idx="5">
                  <v>150</v>
                </pt>
                <pt idx="6">
                  <v>175</v>
                </pt>
                <pt idx="7">
                  <v>200</v>
                </pt>
                <pt idx="8">
                  <v>250</v>
                </pt>
              </strCache>
            </strRef>
          </cat>
          <val>
            <numRef>
              <f>'Оптимум по длине'!$E$51:$E$59</f>
              <numCache>
                <formatCode>#,##0.0</formatCode>
                <ptCount val="9"/>
                <pt idx="0">
                  <v>2134.1</v>
                </pt>
                <pt idx="1">
                  <v>1873.3</v>
                </pt>
                <pt idx="2">
                  <v>1280.7</v>
                </pt>
                <pt idx="3">
                  <v>1079</v>
                </pt>
                <pt idx="4">
                  <v>948.5</v>
                </pt>
                <pt idx="5">
                  <v>889.2</v>
                </pt>
                <pt idx="6">
                  <v>872</v>
                </pt>
                <pt idx="7">
                  <v>792.2</v>
                </pt>
                <pt idx="8">
                  <v>717.3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23972034"/>
        <axId val="23711840"/>
      </lineChart>
      <catAx>
        <axId val="673457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Радиус кластера РОР, м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5851058"/>
        <crosses val="autoZero"/>
        <auto val="1"/>
        <lblAlgn val="ctr"/>
        <lblOffset val="100"/>
        <noMultiLvlLbl val="0"/>
      </catAx>
      <valAx>
        <axId val="2585105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Дропы + магистраль, км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734579"/>
        <crosses val="max"/>
        <crossBetween val="between"/>
      </valAx>
      <catAx>
        <axId val="23972034"/>
        <scaling>
          <orientation val="minMax"/>
        </scaling>
        <delete val="0"/>
        <axPos val="t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Радиус кластера РОР, м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3711840"/>
        <crosses val="autoZero"/>
        <auto val="1"/>
        <lblAlgn val="ctr"/>
        <lblOffset val="100"/>
        <noMultiLvlLbl val="0"/>
      </catAx>
      <valAx>
        <axId val="23711840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Волокно-км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397203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  <a:ea typeface="Calibri"/>
              </a:defRPr>
            </a:pPr>
            <a:r>
              <a:rPr sz="1200" b="1">
                <a:latin typeface="Calibri"/>
                <a:ea typeface="Calibri"/>
              </a:rPr>
              <a:t>Трейдофф децентрализации: волокно-км и стоимость от числа ОРШ</a:t>
            </a:r>
          </a:p>
        </rich>
      </tx>
    </title>
    <plotArea>
      <lineChart>
        <grouping val="standard"/>
        <ser>
          <idx val="0"/>
          <order val="0"/>
          <tx>
            <strRef>
              <f>'Децентрализация ОРШ'!C79</f>
            </strRef>
          </tx>
          <spPr>
            <a:ln xmlns:a="http://schemas.openxmlformats.org/drawingml/2006/main" w="22000">
              <a:solidFill>
                <a:srgbClr val="D4820A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'Децентрализация ОРШ'!$B$80:$B$91</f>
            </numRef>
          </cat>
          <val>
            <numRef>
              <f>'Децентрализация ОРШ'!$C$80:$C$91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'Децентрализация ОРШ'!D79</f>
            </strRef>
          </tx>
          <spPr>
            <a:ln xmlns:a="http://schemas.openxmlformats.org/drawingml/2006/main" w="22000">
              <a:solidFill>
                <a:srgbClr val="1B7D46"/>
              </a:solidFill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'Децентрализация ОРШ'!$D$80:$D$91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Calibri"/>
                    <a:ea typeface="Calibri"/>
                  </a:defRPr>
                </a:pPr>
                <a:r>
                  <a:rPr sz="1000" b="0">
                    <a:latin typeface="Calibri"/>
                    <a:ea typeface="Calibri"/>
                  </a:rPr>
                  <a:t>Число ОРШ (6 ЦУ + зонные шкафы)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Calibri"/>
                    <a:ea typeface="Calibri"/>
                  </a:defRPr>
                </a:pPr>
                <a:r>
                  <a:rPr sz="1000" b="0">
                    <a:latin typeface="Calibri"/>
                    <a:ea typeface="Calibri"/>
                  </a:rPr>
                  <a:t>Волокно-км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Calibri"/>
                  <a:ea typeface="Calibri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Calibri"/>
                    <a:ea typeface="Calibri"/>
                  </a:defRPr>
                </a:pPr>
                <a:r>
                  <a:rPr sz="1000" b="0">
                    <a:latin typeface="Calibri"/>
                    <a:ea typeface="Calibri"/>
                  </a:rPr>
                  <a:t>Стоимость, у.е.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Calibri"/>
                  <a:ea typeface="Calibri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2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Индекс стоимости схем в зависимости от цены ёмкости кабеля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'Проверка волокно-км'!C62</f>
              <strCache>
                <ptCount val="1"/>
                <pt idx="0">
                  <v>A: централизованная</v>
                </pt>
              </strCache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1960">
              <a:solidFill>
                <a:srgbClr val="d4820a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'Проверка волокно-км'!$B$63:$B$69</f>
              <strCache>
                <ptCount val="7"/>
                <pt idx="0">
                  <v>0.0</v>
                </pt>
                <pt idx="1">
                  <v>0.3</v>
                </pt>
                <pt idx="2">
                  <v>0.4</v>
                </pt>
                <pt idx="3">
                  <v>0.5</v>
                </pt>
                <pt idx="4">
                  <v>0.6</v>
                </pt>
                <pt idx="5">
                  <v>0.7</v>
                </pt>
                <pt idx="6">
                  <v>1.0</v>
                </pt>
              </strCache>
            </strRef>
          </cat>
          <val>
            <numRef>
              <f>'Проверка волокно-км'!$C$63:$C$69</f>
              <numCache>
                <formatCode>#,##0</formatCode>
                <ptCount val="7"/>
                <pt idx="0">
                  <v>520.2</v>
                </pt>
                <pt idx="1">
                  <v>545.2</v>
                </pt>
                <pt idx="2">
                  <v>566.3</v>
                </pt>
                <pt idx="3">
                  <v>595.9</v>
                </pt>
                <pt idx="4">
                  <v>635.7</v>
                </pt>
                <pt idx="5">
                  <v>688</v>
                </pt>
                <pt idx="6">
                  <v>955</v>
                </pt>
              </numCache>
            </numRef>
          </val>
          <smooth val="0"/>
        </ser>
        <ser>
          <idx val="1"/>
          <order val="1"/>
          <tx>
            <strRef>
              <f>'Проверка волокно-км'!D62</f>
              <strCache>
                <ptCount val="1"/>
                <pt idx="0">
                  <v>B: каскад 1:8+1:8</v>
                </pt>
              </strCache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1960">
              <a:solidFill>
                <a:srgbClr val="1b2a4a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'Проверка волокно-км'!$B$63:$B$69</f>
              <strCache>
                <ptCount val="7"/>
                <pt idx="0">
                  <v>0.0</v>
                </pt>
                <pt idx="1">
                  <v>0.3</v>
                </pt>
                <pt idx="2">
                  <v>0.4</v>
                </pt>
                <pt idx="3">
                  <v>0.5</v>
                </pt>
                <pt idx="4">
                  <v>0.6</v>
                </pt>
                <pt idx="5">
                  <v>0.7</v>
                </pt>
                <pt idx="6">
                  <v>1.0</v>
                </pt>
              </strCache>
            </strRef>
          </cat>
          <val>
            <numRef>
              <f>'Проверка волокно-км'!$D$63:$D$69</f>
              <numCache>
                <formatCode>#,##0</formatCode>
                <ptCount val="7"/>
                <pt idx="0">
                  <v>553.4</v>
                </pt>
                <pt idx="1">
                  <v>510.5</v>
                </pt>
                <pt idx="2">
                  <v>502.9</v>
                </pt>
                <pt idx="3">
                  <v>498.6</v>
                </pt>
                <pt idx="4">
                  <v>497.6</v>
                </pt>
                <pt idx="5">
                  <v>500.1</v>
                </pt>
                <pt idx="6">
                  <v>531.4</v>
                </pt>
              </numCache>
            </numRef>
          </val>
          <smooth val="0"/>
        </ser>
        <ser>
          <idx val="2"/>
          <order val="2"/>
          <tx>
            <strRef>
              <f>'Проверка волокно-км'!E62</f>
              <strCache>
                <ptCount val="1"/>
                <pt idx="0">
                  <v>C: каскад 1:4+1:16</v>
                </pt>
              </strCache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1960">
              <a:solidFill>
                <a:srgbClr val="1b7d4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'Проверка волокно-км'!$B$63:$B$69</f>
              <strCache>
                <ptCount val="7"/>
                <pt idx="0">
                  <v>0.0</v>
                </pt>
                <pt idx="1">
                  <v>0.3</v>
                </pt>
                <pt idx="2">
                  <v>0.4</v>
                </pt>
                <pt idx="3">
                  <v>0.5</v>
                </pt>
                <pt idx="4">
                  <v>0.6</v>
                </pt>
                <pt idx="5">
                  <v>0.7</v>
                </pt>
                <pt idx="6">
                  <v>1.0</v>
                </pt>
              </strCache>
            </strRef>
          </cat>
          <val>
            <numRef>
              <f>'Проверка волокно-км'!$E$63:$E$69</f>
              <numCache>
                <formatCode>#,##0</formatCode>
                <ptCount val="7"/>
                <pt idx="0">
                  <v>585.9</v>
                </pt>
                <pt idx="1">
                  <v>511.9</v>
                </pt>
                <pt idx="2">
                  <v>495.1</v>
                </pt>
                <pt idx="3">
                  <v>481.6</v>
                </pt>
                <pt idx="4">
                  <v>471.3</v>
                </pt>
                <pt idx="5">
                  <v>464</v>
                </pt>
                <pt idx="6">
                  <v>459.4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44147962"/>
        <axId val="18351772"/>
      </lineChart>
      <catAx>
        <axId val="44147962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Показатель цены k: цена ~ (F/8)^k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8351772"/>
        <crosses val="autoZero"/>
        <auto val="1"/>
        <lblAlgn val="ctr"/>
        <lblOffset val="100"/>
        <noMultiLvlLbl val="0"/>
      </catAx>
      <valAx>
        <axId val="18351772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Индекс, у.е. 
(1 км кабеля 8F)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414796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49</row>
      <rowOff>0</rowOff>
    </from>
    <to>
      <col>17</col>
      <colOff>268920</colOff>
      <row>68</row>
      <rowOff>172080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78</row>
      <rowOff>0</rowOff>
    </from>
    <ext cx="75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twoCellAnchor editAs="oneCell">
    <from>
      <col>6</col>
      <colOff>0</colOff>
      <row>61</row>
      <rowOff>0</rowOff>
    </from>
    <to>
      <col>16</col>
      <colOff>25920</colOff>
      <row>79</row>
      <rowOff>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L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46" customWidth="1" style="62" min="3" max="3"/>
    <col width="9" customWidth="1" style="62" min="4" max="4"/>
    <col width="30" customWidth="1" style="62" min="5" max="5"/>
    <col width="13" customWidth="1" style="62" min="6" max="6"/>
    <col width="12.5" customWidth="1" style="62" min="7" max="12"/>
  </cols>
  <sheetData>
    <row r="2" ht="31.5" customHeight="1" s="63">
      <c r="B2" s="64" t="inlineStr">
        <is>
          <t>Сводная таблица материалов — FTTH (GPON), каскадная схема 1:4 + 1:16, 6 СНП Восточно-Казахстанской области</t>
        </is>
      </c>
    </row>
    <row r="3" ht="13.5" customHeight="1" s="63">
      <c r="B3" s="65" t="inlineStr">
        <is>
          <t>Каскадное деление 1:4 (ОРШ) × 1:16 (РОР) = 1:64 • сети — по спутниковым снимкам с привязкой к дорогам OSM, топология не менялась • допущения — лист «Методика» • сравнение схем — лист «Сравнение схем» • подготовлено 18.09.2026</t>
        </is>
      </c>
    </row>
    <row r="4" ht="27.75" customHeight="1" s="63">
      <c r="B4" s="66" t="inlineStr">
        <is>
          <t>№</t>
        </is>
      </c>
      <c r="C4" s="66" t="inlineStr">
        <is>
          <t>Наименование</t>
        </is>
      </c>
      <c r="D4" s="66" t="inlineStr">
        <is>
          <t>Ед. изм.</t>
        </is>
      </c>
      <c r="E4" s="66" t="inlineStr">
        <is>
          <t>Расчёт / норма</t>
        </is>
      </c>
      <c r="F4" s="66" t="inlineStr">
        <is>
          <t>Верхнеберезовка</t>
        </is>
      </c>
      <c r="G4" s="66" t="inlineStr">
        <is>
          <t>Солнечное</t>
        </is>
      </c>
      <c r="H4" s="66" t="inlineStr">
        <is>
          <t>Перевальное</t>
        </is>
      </c>
      <c r="I4" s="66" t="inlineStr">
        <is>
          <t>Винное</t>
        </is>
      </c>
      <c r="J4" s="66" t="inlineStr">
        <is>
          <t>Пригородное</t>
        </is>
      </c>
      <c r="K4" s="66" t="inlineStr">
        <is>
          <t>Алтайский</t>
        </is>
      </c>
      <c r="L4" s="66" t="inlineStr">
        <is>
          <t>ИТОГО</t>
        </is>
      </c>
    </row>
    <row r="5" ht="24" customHeight="1" s="63">
      <c r="B5" s="67" t="n"/>
      <c r="C5" s="67" t="inlineStr">
        <is>
          <t>А. Оборудование и узлы</t>
        </is>
      </c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</row>
    <row r="6" ht="24" customHeight="1" s="63">
      <c r="B6" s="68" t="n">
        <v>1</v>
      </c>
      <c r="C6" s="69" t="inlineStr">
        <is>
          <t>Шкаф оптический распределительный (ОРШ)</t>
        </is>
      </c>
      <c r="D6" s="68" t="inlineStr">
        <is>
          <t>шт</t>
        </is>
      </c>
      <c r="E6" s="69" t="inlineStr">
        <is>
          <t>1 на СНП (здание по проекту)</t>
        </is>
      </c>
      <c r="F6" s="70" t="n">
        <v>1</v>
      </c>
      <c r="G6" s="70" t="n">
        <v>1</v>
      </c>
      <c r="H6" s="70" t="n">
        <v>1</v>
      </c>
      <c r="I6" s="70" t="n">
        <v>1</v>
      </c>
      <c r="J6" s="70" t="n">
        <v>1</v>
      </c>
      <c r="K6" s="70" t="n">
        <v>1</v>
      </c>
      <c r="L6" s="71">
        <f>SUM(F6:K6)</f>
        <v/>
      </c>
    </row>
    <row r="7" ht="24" customHeight="1" s="63">
      <c r="B7" s="72" t="n">
        <v>2</v>
      </c>
      <c r="C7" s="73" t="inlineStr">
        <is>
          <t>Сплиттер PLC 1×4 — 1-я ступень (в ОРШ)</t>
        </is>
      </c>
      <c r="D7" s="72" t="inlineStr">
        <is>
          <t>шт</t>
        </is>
      </c>
      <c r="E7" s="73" t="inlineStr">
        <is>
          <t>сплиттеры 2-й ступ. / 4, окр. вверх</t>
        </is>
      </c>
      <c r="F7" s="74" t="n">
        <v>29</v>
      </c>
      <c r="G7" s="74" t="n">
        <v>5</v>
      </c>
      <c r="H7" s="74" t="n">
        <v>11</v>
      </c>
      <c r="I7" s="74" t="n">
        <v>19</v>
      </c>
      <c r="J7" s="74" t="n">
        <v>9</v>
      </c>
      <c r="K7" s="74" t="n">
        <v>10</v>
      </c>
      <c r="L7" s="75">
        <f>SUM(F7:K7)</f>
        <v/>
      </c>
    </row>
    <row r="8" ht="24" customHeight="1" s="63">
      <c r="B8" s="68" t="n">
        <v>3</v>
      </c>
      <c r="C8" s="69" t="inlineStr">
        <is>
          <t>Сплиттер PLC 1×16 — 2-я ступень (в РОР)</t>
        </is>
      </c>
      <c r="D8" s="68" t="inlineStr">
        <is>
          <t>шт</t>
        </is>
      </c>
      <c r="E8" s="69" t="inlineStr">
        <is>
          <t>1 на РОР (кластер до 16 ДХ)</t>
        </is>
      </c>
      <c r="F8" s="70" t="n">
        <v>114</v>
      </c>
      <c r="G8" s="70" t="n">
        <v>19</v>
      </c>
      <c r="H8" s="70" t="n">
        <v>43</v>
      </c>
      <c r="I8" s="70" t="n">
        <v>74</v>
      </c>
      <c r="J8" s="70" t="n">
        <v>34</v>
      </c>
      <c r="K8" s="70" t="n">
        <v>39</v>
      </c>
      <c r="L8" s="71">
        <f>SUM(F8:K8)</f>
        <v/>
      </c>
    </row>
    <row r="9" ht="24" customHeight="1" s="63">
      <c r="B9" s="72" t="n">
        <v>4</v>
      </c>
      <c r="C9" s="73" t="inlineStr">
        <is>
          <t>РОР — бокс оптический распределительный (под сплиттер)</t>
        </is>
      </c>
      <c r="D9" s="72" t="inlineStr">
        <is>
          <t>шт</t>
        </is>
      </c>
      <c r="E9" s="73" t="inlineStr">
        <is>
          <t>1 на кластер ДХ (радиус 150 м)</t>
        </is>
      </c>
      <c r="F9" s="74" t="n">
        <v>114</v>
      </c>
      <c r="G9" s="74" t="n">
        <v>19</v>
      </c>
      <c r="H9" s="74" t="n">
        <v>43</v>
      </c>
      <c r="I9" s="74" t="n">
        <v>74</v>
      </c>
      <c r="J9" s="74" t="n">
        <v>34</v>
      </c>
      <c r="K9" s="74" t="n">
        <v>39</v>
      </c>
      <c r="L9" s="75">
        <f>SUM(F9:K9)</f>
        <v/>
      </c>
    </row>
    <row r="10" ht="24" customHeight="1" s="63">
      <c r="B10" s="68" t="n">
        <v>5</v>
      </c>
      <c r="C10" s="69" t="inlineStr">
        <is>
          <t>Пигтейль SC/UPC для кросса ОРШ</t>
        </is>
      </c>
      <c r="D10" s="68" t="inlineStr">
        <is>
          <t>шт</t>
        </is>
      </c>
      <c r="E10" s="69" t="inlineStr">
        <is>
          <t>1,1 × волокна, уходящие от ОРШ</t>
        </is>
      </c>
      <c r="F10" s="70" t="n">
        <v>126</v>
      </c>
      <c r="G10" s="70" t="n">
        <v>21</v>
      </c>
      <c r="H10" s="70" t="n">
        <v>48</v>
      </c>
      <c r="I10" s="70" t="n">
        <v>82</v>
      </c>
      <c r="J10" s="70" t="n">
        <v>38</v>
      </c>
      <c r="K10" s="70" t="n">
        <v>43</v>
      </c>
      <c r="L10" s="71">
        <f>SUM(F10:K10)</f>
        <v/>
      </c>
    </row>
    <row r="11" ht="24" customHeight="1" s="63">
      <c r="B11" s="72" t="n">
        <v>6</v>
      </c>
      <c r="C11" s="73" t="inlineStr">
        <is>
          <t>Порт PON OLT — справочно (активное оборудование)</t>
        </is>
      </c>
      <c r="D11" s="72" t="inlineStr">
        <is>
          <t>шт</t>
        </is>
      </c>
      <c r="E11" s="73" t="inlineStr">
        <is>
          <t>сплиттеры 1-й ступени</t>
        </is>
      </c>
      <c r="F11" s="74" t="n">
        <v>29</v>
      </c>
      <c r="G11" s="74" t="n">
        <v>5</v>
      </c>
      <c r="H11" s="74" t="n">
        <v>11</v>
      </c>
      <c r="I11" s="74" t="n">
        <v>19</v>
      </c>
      <c r="J11" s="74" t="n">
        <v>9</v>
      </c>
      <c r="K11" s="74" t="n">
        <v>10</v>
      </c>
      <c r="L11" s="75">
        <f>SUM(F11:K11)</f>
        <v/>
      </c>
    </row>
    <row r="12" ht="24" customHeight="1" s="63">
      <c r="B12" s="67" t="n"/>
      <c r="C12" s="67" t="inlineStr">
        <is>
          <t>Б. Кабельная продукция (длины с запасом на монтаж 10 %)</t>
        </is>
      </c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</row>
    <row r="13" ht="24" customHeight="1" s="63">
      <c r="B13" s="68" t="n">
        <v>7</v>
      </c>
      <c r="C13" s="69" t="inlineStr">
        <is>
          <t>Кабель оптический самонесущий, 8 волокон</t>
        </is>
      </c>
      <c r="D13" s="68" t="inlineStr">
        <is>
          <t>км</t>
        </is>
      </c>
      <c r="E13" s="69" t="inlineStr">
        <is>
          <t>волокна = 1,25 × сплиттеры 2-й ступ. потока</t>
        </is>
      </c>
      <c r="F13" s="76" t="n">
        <v>16.8</v>
      </c>
      <c r="G13" s="76" t="n">
        <v>3.5</v>
      </c>
      <c r="H13" s="76" t="n">
        <v>7.3</v>
      </c>
      <c r="I13" s="76" t="n">
        <v>11.5</v>
      </c>
      <c r="J13" s="76" t="n">
        <v>4.9</v>
      </c>
      <c r="K13" s="76" t="n">
        <v>5.5</v>
      </c>
      <c r="L13" s="77">
        <f>SUM(F13:K13)</f>
        <v/>
      </c>
    </row>
    <row r="14" ht="24" customHeight="1" s="63">
      <c r="B14" s="72" t="n">
        <v>8</v>
      </c>
      <c r="C14" s="73" t="inlineStr">
        <is>
          <t>Кабель оптический самонесущий, 12 волокон</t>
        </is>
      </c>
      <c r="D14" s="72" t="inlineStr">
        <is>
          <t>км</t>
        </is>
      </c>
      <c r="E14" s="73" t="inlineStr">
        <is>
          <t>то же</t>
        </is>
      </c>
      <c r="F14" s="78" t="n">
        <v>0.6</v>
      </c>
      <c r="G14" s="78" t="n">
        <v>0.1</v>
      </c>
      <c r="H14" s="78" t="n">
        <v>1.1</v>
      </c>
      <c r="I14" s="78" t="n">
        <v>1.4</v>
      </c>
      <c r="J14" s="78" t="n">
        <v>0.8</v>
      </c>
      <c r="K14" s="78" t="n">
        <v>0.3</v>
      </c>
      <c r="L14" s="79">
        <f>SUM(F14:K14)</f>
        <v/>
      </c>
    </row>
    <row r="15" ht="24" customHeight="1" s="63">
      <c r="B15" s="68" t="n">
        <v>9</v>
      </c>
      <c r="C15" s="69" t="inlineStr">
        <is>
          <t>Кабель оптический самонесущий, 16 волокон</t>
        </is>
      </c>
      <c r="D15" s="68" t="inlineStr">
        <is>
          <t>км</t>
        </is>
      </c>
      <c r="E15" s="69" t="inlineStr">
        <is>
          <t>то же</t>
        </is>
      </c>
      <c r="F15" s="76" t="n">
        <v>1.5</v>
      </c>
      <c r="G15" s="76" t="n">
        <v>0.2</v>
      </c>
      <c r="H15" s="76" t="n">
        <v>0.2</v>
      </c>
      <c r="I15" s="76" t="n">
        <v>0.4</v>
      </c>
      <c r="J15" s="76" t="n">
        <v>0.2</v>
      </c>
      <c r="K15" s="76" t="n">
        <v>0.7</v>
      </c>
      <c r="L15" s="77">
        <f>SUM(F15:K15)</f>
        <v/>
      </c>
    </row>
    <row r="16" ht="24" customHeight="1" s="63">
      <c r="B16" s="72" t="n">
        <v>10</v>
      </c>
      <c r="C16" s="73" t="inlineStr">
        <is>
          <t>Кабель оптический самонесущий, 24 волокна</t>
        </is>
      </c>
      <c r="D16" s="72" t="inlineStr">
        <is>
          <t>км</t>
        </is>
      </c>
      <c r="E16" s="73" t="inlineStr">
        <is>
          <t>то же</t>
        </is>
      </c>
      <c r="F16" s="78" t="n">
        <v>2.1</v>
      </c>
      <c r="G16" s="78" t="n"/>
      <c r="H16" s="78" t="n">
        <v>0.5</v>
      </c>
      <c r="I16" s="78" t="n">
        <v>2.3</v>
      </c>
      <c r="J16" s="78" t="n">
        <v>0.7</v>
      </c>
      <c r="K16" s="78" t="n">
        <v>0.9</v>
      </c>
      <c r="L16" s="79">
        <f>SUM(F16:K16)</f>
        <v/>
      </c>
    </row>
    <row r="17" ht="24" customHeight="1" s="63">
      <c r="B17" s="68" t="n">
        <v>11</v>
      </c>
      <c r="C17" s="69" t="inlineStr">
        <is>
          <t>Кабель оптический самонесущий, 32 волокна</t>
        </is>
      </c>
      <c r="D17" s="68" t="inlineStr">
        <is>
          <t>км</t>
        </is>
      </c>
      <c r="E17" s="69" t="inlineStr">
        <is>
          <t>то же</t>
        </is>
      </c>
      <c r="F17" s="76" t="n">
        <v>2.4</v>
      </c>
      <c r="G17" s="76" t="n"/>
      <c r="H17" s="76" t="n"/>
      <c r="I17" s="76" t="n">
        <v>0.5</v>
      </c>
      <c r="J17" s="76" t="n">
        <v>0.3</v>
      </c>
      <c r="K17" s="76" t="n"/>
      <c r="L17" s="77">
        <f>SUM(F17:K17)</f>
        <v/>
      </c>
    </row>
    <row r="18" ht="24" customHeight="1" s="63">
      <c r="B18" s="72" t="n">
        <v>12</v>
      </c>
      <c r="C18" s="73" t="inlineStr">
        <is>
          <t>Кабель оптический самонесущий, 48 волокон</t>
        </is>
      </c>
      <c r="D18" s="72" t="inlineStr">
        <is>
          <t>км</t>
        </is>
      </c>
      <c r="E18" s="73" t="inlineStr">
        <is>
          <t>то же</t>
        </is>
      </c>
      <c r="F18" s="78" t="n">
        <v>1.1</v>
      </c>
      <c r="G18" s="78" t="n"/>
      <c r="H18" s="78" t="n">
        <v>0.6</v>
      </c>
      <c r="I18" s="78" t="n">
        <v>0.4</v>
      </c>
      <c r="J18" s="78" t="n">
        <v>0.6</v>
      </c>
      <c r="K18" s="78" t="n">
        <v>0.2</v>
      </c>
      <c r="L18" s="79">
        <f>SUM(F18:K18)</f>
        <v/>
      </c>
    </row>
    <row r="19" ht="24" customHeight="1" s="63">
      <c r="B19" s="68" t="n">
        <v>13</v>
      </c>
      <c r="C19" s="69" t="inlineStr">
        <is>
          <t>Кабель оптический самонесущий, 64 волокна</t>
        </is>
      </c>
      <c r="D19" s="68" t="inlineStr">
        <is>
          <t>км</t>
        </is>
      </c>
      <c r="E19" s="69" t="inlineStr">
        <is>
          <t>то же</t>
        </is>
      </c>
      <c r="F19" s="76" t="n">
        <v>0.3</v>
      </c>
      <c r="G19" s="76" t="n"/>
      <c r="H19" s="76" t="n">
        <v>0.1</v>
      </c>
      <c r="I19" s="76" t="n">
        <v>0.2</v>
      </c>
      <c r="J19" s="76" t="n"/>
      <c r="K19" s="76" t="n"/>
      <c r="L19" s="77">
        <f>SUM(F19:K19)</f>
        <v/>
      </c>
    </row>
    <row r="20" ht="24" customHeight="1" s="63">
      <c r="B20" s="72" t="n">
        <v>14</v>
      </c>
      <c r="C20" s="73" t="inlineStr">
        <is>
          <t>Кабель оптический самонесущий, 72 волокна</t>
        </is>
      </c>
      <c r="D20" s="72" t="inlineStr">
        <is>
          <t>км</t>
        </is>
      </c>
      <c r="E20" s="73" t="inlineStr">
        <is>
          <t>то же</t>
        </is>
      </c>
      <c r="F20" s="78" t="n"/>
      <c r="G20" s="78" t="n"/>
      <c r="H20" s="78" t="n"/>
      <c r="I20" s="78" t="n"/>
      <c r="J20" s="78" t="n"/>
      <c r="K20" s="78" t="n"/>
      <c r="L20" s="79">
        <f>SUM(F20:K20)</f>
        <v/>
      </c>
    </row>
    <row r="21" ht="24" customHeight="1" s="63">
      <c r="B21" s="68" t="n">
        <v>15</v>
      </c>
      <c r="C21" s="69" t="inlineStr">
        <is>
          <t>Кабель оптический самонесущий, 96 волокон</t>
        </is>
      </c>
      <c r="D21" s="68" t="inlineStr">
        <is>
          <t>км</t>
        </is>
      </c>
      <c r="E21" s="69" t="inlineStr">
        <is>
          <t>то же</t>
        </is>
      </c>
      <c r="F21" s="76" t="n">
        <v>0.5</v>
      </c>
      <c r="G21" s="76" t="n"/>
      <c r="H21" s="76" t="n"/>
      <c r="I21" s="76" t="n">
        <v>0.4</v>
      </c>
      <c r="J21" s="76" t="n"/>
      <c r="K21" s="76" t="n"/>
      <c r="L21" s="77">
        <f>SUM(F21:K21)</f>
        <v/>
      </c>
    </row>
    <row r="22" ht="24" customHeight="1" s="63">
      <c r="B22" s="72" t="n">
        <v>16</v>
      </c>
      <c r="C22" s="73" t="inlineStr">
        <is>
          <t>Кабель дроп-кабельный самонесущий, 2 волокна (1 раб. + 1 рез.)</t>
        </is>
      </c>
      <c r="D22" s="72" t="inlineStr">
        <is>
          <t>км</t>
        </is>
      </c>
      <c r="E22" s="73" t="inlineStr">
        <is>
          <t>(дропы + подводки РОР→ДХ) × 1,05</t>
        </is>
      </c>
      <c r="F22" s="78" t="n">
        <v>84.7</v>
      </c>
      <c r="G22" s="78" t="n">
        <v>11</v>
      </c>
      <c r="H22" s="78" t="n">
        <v>35.1</v>
      </c>
      <c r="I22" s="78" t="n">
        <v>61.6</v>
      </c>
      <c r="J22" s="78" t="n">
        <v>24.3</v>
      </c>
      <c r="K22" s="78" t="n">
        <v>27.3</v>
      </c>
      <c r="L22" s="79">
        <f>SUM(F22:K22)</f>
        <v/>
      </c>
    </row>
    <row r="23" ht="24" customHeight="1" s="63">
      <c r="B23" s="68" t="n">
        <v>17</v>
      </c>
      <c r="C23" s="69" t="inlineStr">
        <is>
          <t>Справочно: суммарная ёмкость магистрального кабеля</t>
        </is>
      </c>
      <c r="D23" s="68" t="inlineStr">
        <is>
          <t>волокно-км</t>
        </is>
      </c>
      <c r="E23" s="69" t="inlineStr">
        <is>
          <t>Σ (длина участка × волокна)</t>
        </is>
      </c>
      <c r="F23" s="76" t="n">
        <v>369</v>
      </c>
      <c r="G23" s="76" t="n">
        <v>28.5</v>
      </c>
      <c r="H23" s="76" t="n">
        <v>105.3</v>
      </c>
      <c r="I23" s="76" t="n">
        <v>219.2</v>
      </c>
      <c r="J23" s="76" t="n">
        <v>91.5</v>
      </c>
      <c r="K23" s="76" t="n">
        <v>75.7</v>
      </c>
      <c r="L23" s="77">
        <f>SUM(F23:K23)</f>
        <v/>
      </c>
    </row>
    <row r="24" ht="24" customHeight="1" s="63">
      <c r="B24" s="67" t="n"/>
      <c r="C24" s="67" t="inlineStr">
        <is>
          <t>В. Пассивные узлы</t>
        </is>
      </c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</row>
    <row r="25" ht="24" customHeight="1" s="63">
      <c r="B25" s="68" t="n">
        <v>18</v>
      </c>
      <c r="C25" s="69" t="inlineStr">
        <is>
          <t>Муфта оптическая (ветвления магистрали)</t>
        </is>
      </c>
      <c r="D25" s="68" t="inlineStr">
        <is>
          <t>шт</t>
        </is>
      </c>
      <c r="E25" s="69" t="inlineStr">
        <is>
          <t>узлы ветвления ствола; транзит — неразрезным кабелем</t>
        </is>
      </c>
      <c r="F25" s="70" t="n">
        <v>27</v>
      </c>
      <c r="G25" s="70" t="n">
        <v>6</v>
      </c>
      <c r="H25" s="70" t="n">
        <v>13</v>
      </c>
      <c r="I25" s="70" t="n">
        <v>23</v>
      </c>
      <c r="J25" s="70" t="n">
        <v>12</v>
      </c>
      <c r="K25" s="70" t="n">
        <v>19</v>
      </c>
      <c r="L25" s="71">
        <f>SUM(F25:K25)</f>
        <v/>
      </c>
    </row>
    <row r="26" ht="24" customHeight="1" s="63">
      <c r="B26" s="67" t="n"/>
      <c r="C26" s="67" t="inlineStr">
        <is>
          <t>Г. Материалы для монтажа</t>
        </is>
      </c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</row>
    <row r="27" ht="24" customHeight="1" s="63">
      <c r="B27" s="68" t="n">
        <v>19</v>
      </c>
      <c r="C27" s="69" t="inlineStr">
        <is>
          <t>Бокс абонентский оптический с адаптером SC/UPC</t>
        </is>
      </c>
      <c r="D27" s="68" t="inlineStr">
        <is>
          <t>шт</t>
        </is>
      </c>
      <c r="E27" s="69" t="inlineStr">
        <is>
          <t>1 на ДХ</t>
        </is>
      </c>
      <c r="F27" s="70" t="n">
        <v>799</v>
      </c>
      <c r="G27" s="70" t="n">
        <v>112</v>
      </c>
      <c r="H27" s="70" t="n">
        <v>350</v>
      </c>
      <c r="I27" s="70" t="n">
        <v>550</v>
      </c>
      <c r="J27" s="70" t="n">
        <v>244</v>
      </c>
      <c r="K27" s="70" t="n">
        <v>279</v>
      </c>
      <c r="L27" s="71">
        <f>SUM(F27:K27)</f>
        <v/>
      </c>
    </row>
    <row r="28" ht="24" customHeight="1" s="63">
      <c r="B28" s="72" t="n">
        <v>20</v>
      </c>
      <c r="C28" s="73" t="inlineStr">
        <is>
          <t>Коннектор оптический механический SC/UPC</t>
        </is>
      </c>
      <c r="D28" s="72" t="inlineStr">
        <is>
          <t>шт</t>
        </is>
      </c>
      <c r="E28" s="73" t="inlineStr">
        <is>
          <t>2 × ДХ × 1,1 (РОР + абонентский бокс)</t>
        </is>
      </c>
      <c r="F28" s="74" t="n">
        <v>1758</v>
      </c>
      <c r="G28" s="74" t="n">
        <v>247</v>
      </c>
      <c r="H28" s="74" t="n">
        <v>770</v>
      </c>
      <c r="I28" s="74" t="n">
        <v>1210</v>
      </c>
      <c r="J28" s="74" t="n">
        <v>537</v>
      </c>
      <c r="K28" s="74" t="n">
        <v>614</v>
      </c>
      <c r="L28" s="75">
        <f>SUM(F28:K28)</f>
        <v/>
      </c>
    </row>
    <row r="29" ht="24" customHeight="1" s="63">
      <c r="B29" s="68" t="n">
        <v>21</v>
      </c>
      <c r="C29" s="69" t="inlineStr">
        <is>
          <t>Сварное соединение (оценка объёма работ)</t>
        </is>
      </c>
      <c r="D29" s="68" t="inlineStr">
        <is>
          <t>шт</t>
        </is>
      </c>
      <c r="E29" s="69" t="inlineStr">
        <is>
          <t>пигтейли ОРШ + входы сплиттеров + ответвления, × 1,1</t>
        </is>
      </c>
      <c r="F29" s="70" t="n">
        <v>570</v>
      </c>
      <c r="G29" s="70" t="n">
        <v>65</v>
      </c>
      <c r="H29" s="70" t="n">
        <v>206</v>
      </c>
      <c r="I29" s="70" t="n">
        <v>399</v>
      </c>
      <c r="J29" s="70" t="n">
        <v>140</v>
      </c>
      <c r="K29" s="70" t="n">
        <v>172</v>
      </c>
      <c r="L29" s="71">
        <f>SUM(F29:K29)</f>
        <v/>
      </c>
    </row>
    <row r="30" ht="24" customHeight="1" s="63">
      <c r="B30" s="72" t="n">
        <v>22</v>
      </c>
      <c r="C30" s="73" t="inlineStr">
        <is>
          <t>Гильза КДЗС, 60 мм</t>
        </is>
      </c>
      <c r="D30" s="72" t="inlineStr">
        <is>
          <t>шт</t>
        </is>
      </c>
      <c r="E30" s="73" t="inlineStr">
        <is>
          <t>по числу сварных соединений</t>
        </is>
      </c>
      <c r="F30" s="74" t="n">
        <v>570</v>
      </c>
      <c r="G30" s="74" t="n">
        <v>65</v>
      </c>
      <c r="H30" s="74" t="n">
        <v>206</v>
      </c>
      <c r="I30" s="74" t="n">
        <v>399</v>
      </c>
      <c r="J30" s="74" t="n">
        <v>140</v>
      </c>
      <c r="K30" s="74" t="n">
        <v>172</v>
      </c>
      <c r="L30" s="75">
        <f>SUM(F30:K30)</f>
        <v/>
      </c>
    </row>
    <row r="31" ht="24" customHeight="1" s="63">
      <c r="B31" s="68" t="n">
        <v>23</v>
      </c>
      <c r="C31" s="69" t="inlineStr">
        <is>
          <t>Комплект подвеса магистрального кабеля (кронштейн + спиральный зажим)</t>
        </is>
      </c>
      <c r="D31" s="68" t="inlineStr">
        <is>
          <t>компл</t>
        </is>
      </c>
      <c r="E31" s="69" t="inlineStr">
        <is>
          <t>30 на 1 км кабеля</t>
        </is>
      </c>
      <c r="F31" s="70" t="n">
        <v>685</v>
      </c>
      <c r="G31" s="70" t="n">
        <v>101</v>
      </c>
      <c r="H31" s="70" t="n">
        <v>258</v>
      </c>
      <c r="I31" s="70" t="n">
        <v>453</v>
      </c>
      <c r="J31" s="70" t="n">
        <v>198</v>
      </c>
      <c r="K31" s="70" t="n">
        <v>200</v>
      </c>
      <c r="L31" s="71">
        <f>SUM(F31:K31)</f>
        <v/>
      </c>
    </row>
    <row r="32" ht="24" customHeight="1" s="63">
      <c r="B32" s="72" t="n">
        <v>24</v>
      </c>
      <c r="C32" s="73" t="inlineStr">
        <is>
          <t>Комплект подвеса дроп-кабеля на участках РОР→ДХ</t>
        </is>
      </c>
      <c r="D32" s="72" t="inlineStr">
        <is>
          <t>компл</t>
        </is>
      </c>
      <c r="E32" s="73" t="inlineStr">
        <is>
          <t>30 на 1 км подводок</t>
        </is>
      </c>
      <c r="F32" s="74" t="n">
        <v>1441</v>
      </c>
      <c r="G32" s="74" t="n">
        <v>203</v>
      </c>
      <c r="H32" s="74" t="n">
        <v>643</v>
      </c>
      <c r="I32" s="74" t="n">
        <v>1013</v>
      </c>
      <c r="J32" s="74" t="n">
        <v>431</v>
      </c>
      <c r="K32" s="74" t="n">
        <v>510</v>
      </c>
      <c r="L32" s="75">
        <f>SUM(F32:K32)</f>
        <v/>
      </c>
    </row>
    <row r="33" ht="24" customHeight="1" s="63">
      <c r="B33" s="68" t="n">
        <v>25</v>
      </c>
      <c r="C33" s="69" t="inlineStr">
        <is>
          <t>Анкерный зажим дроп-кабеля</t>
        </is>
      </c>
      <c r="D33" s="68" t="inlineStr">
        <is>
          <t>шт</t>
        </is>
      </c>
      <c r="E33" s="69" t="inlineStr">
        <is>
          <t>2 на ДХ</t>
        </is>
      </c>
      <c r="F33" s="70" t="n">
        <v>1598</v>
      </c>
      <c r="G33" s="70" t="n">
        <v>224</v>
      </c>
      <c r="H33" s="70" t="n">
        <v>700</v>
      </c>
      <c r="I33" s="70" t="n">
        <v>1100</v>
      </c>
      <c r="J33" s="70" t="n">
        <v>488</v>
      </c>
      <c r="K33" s="70" t="n">
        <v>558</v>
      </c>
      <c r="L33" s="71">
        <f>SUM(F33:K33)</f>
        <v/>
      </c>
    </row>
    <row r="34" ht="24" customHeight="1" s="63">
      <c r="B34" s="72" t="n">
        <v>26</v>
      </c>
      <c r="C34" s="73" t="inlineStr">
        <is>
          <t>Крепёж дроп-кабеля (скобы / хомуты)</t>
        </is>
      </c>
      <c r="D34" s="72" t="inlineStr">
        <is>
          <t>шт</t>
        </is>
      </c>
      <c r="E34" s="73" t="inlineStr">
        <is>
          <t>6 на ДХ</t>
        </is>
      </c>
      <c r="F34" s="74" t="n">
        <v>4794</v>
      </c>
      <c r="G34" s="74" t="n">
        <v>672</v>
      </c>
      <c r="H34" s="74" t="n">
        <v>2100</v>
      </c>
      <c r="I34" s="74" t="n">
        <v>3300</v>
      </c>
      <c r="J34" s="74" t="n">
        <v>1464</v>
      </c>
      <c r="K34" s="74" t="n">
        <v>1674</v>
      </c>
      <c r="L34" s="75">
        <f>SUM(F34:K34)</f>
        <v/>
      </c>
    </row>
    <row r="36" ht="13.5" customHeight="1" s="63">
      <c r="B36" s="65" t="inlineStr">
        <is>
          <t>Значения в графах сел — потребность по проекту; графа «ИТОГО» — сумма по шести СНП. Единицы измерения разнородны, итог по столбцам не приводится.</t>
        </is>
      </c>
    </row>
    <row r="37" ht="13.5" customHeight="1" s="63">
      <c r="B37" s="65" t="inlineStr">
        <is>
          <t>Каскадная схема: сплиттеры 1-й ступени 1:4 — в ОРШ, 2-й ступени 1:16 — в РОР (суммарное деление 1:64). Нормы и допущения — лист «Методика»; параметры сетей — лист «Параметры сетей».</t>
        </is>
      </c>
    </row>
  </sheetData>
  <mergeCells count="3">
    <mergeCell ref="B2:L2"/>
    <mergeCell ref="B37:L37"/>
    <mergeCell ref="B36:L3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63" min="1" max="1"/>
    <col width="5" customWidth="1" style="63" min="2" max="2"/>
    <col width="46" customWidth="1" style="63" min="3" max="3"/>
    <col width="9" customWidth="1" style="63" min="4" max="4"/>
    <col width="30" customWidth="1" style="63" min="5" max="5"/>
    <col width="13" customWidth="1" style="63" min="6" max="6"/>
    <col width="12.5" customWidth="1" style="63" min="7" max="7"/>
    <col width="12.5" customWidth="1" style="63" min="8" max="8"/>
    <col width="12.5" customWidth="1" style="63" min="9" max="9"/>
    <col width="12.5" customWidth="1" style="63" min="10" max="10"/>
    <col width="12.5" customWidth="1" style="63" min="11" max="11"/>
    <col width="12.5" customWidth="1" style="63" min="12" max="12"/>
  </cols>
  <sheetData>
    <row r="1" ht="15" customHeight="1" s="63"/>
    <row r="2" ht="32" customHeight="1" s="63">
      <c r="B2" s="106" t="inlineStr">
        <is>
          <t>Сводная таблица материалов — FTTH (GPON), децентрализованная схема D: зонные ОРШ 1:64 при едином узле OLT, 6 СНП Восточно-Казахстанской области</t>
        </is>
      </c>
    </row>
    <row r="3" ht="14" customHeight="1" s="63">
      <c r="B3" s="107" t="inlineStr">
        <is>
          <t>Схема D (v3): топология сетей, муфты и дропы — без изменений (как в схемах A/B/C); сплиттеры 1:64 — в зонных ОРШ (S_MIN = 15 волокно-км на шкаф, зона ≥ 48 ДХ), шкафы — в центрах секторов; фидер от ЦУ — кратчайший путь (Дейкстра) в границе НП, межселённый транспорт — за рамками расчёта • карты зон — download/snp_vko/*_зоны_ОРШ_схема_D.jpg • допущения — лист «Методика» • сравнение схем — лист «Сравнение схем» • подготовлено 18.09.2026</t>
        </is>
      </c>
    </row>
    <row r="4" ht="28" customHeight="1" s="63">
      <c r="B4" s="111" t="inlineStr">
        <is>
          <t>№</t>
        </is>
      </c>
      <c r="C4" s="111" t="inlineStr">
        <is>
          <t>Наименование</t>
        </is>
      </c>
      <c r="D4" s="111" t="inlineStr">
        <is>
          <t>Ед. изм.</t>
        </is>
      </c>
      <c r="E4" s="111" t="inlineStr">
        <is>
          <t>Расчёт / норма</t>
        </is>
      </c>
      <c r="F4" s="111" t="inlineStr">
        <is>
          <t>Верхнеберезовка</t>
        </is>
      </c>
      <c r="G4" s="111" t="inlineStr">
        <is>
          <t>Солнечное</t>
        </is>
      </c>
      <c r="H4" s="111" t="inlineStr">
        <is>
          <t>Перевальное</t>
        </is>
      </c>
      <c r="I4" s="111" t="inlineStr">
        <is>
          <t>Винное</t>
        </is>
      </c>
      <c r="J4" s="111" t="inlineStr">
        <is>
          <t>Пригородное</t>
        </is>
      </c>
      <c r="K4" s="111" t="inlineStr">
        <is>
          <t>Алтайский</t>
        </is>
      </c>
      <c r="L4" s="111" t="inlineStr">
        <is>
          <t>ИТОГО</t>
        </is>
      </c>
    </row>
    <row r="5" ht="24" customHeight="1" s="63">
      <c r="B5" s="108" t="n"/>
      <c r="C5" s="108" t="inlineStr">
        <is>
          <t>А. Оборудование и узлы</t>
        </is>
      </c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</row>
    <row r="6" ht="24" customHeight="1" s="63">
      <c r="B6" s="313" t="n">
        <v>1</v>
      </c>
      <c r="C6" s="112" t="inlineStr">
        <is>
          <t>Шкаф оптический распределительный (ОРШ) центральный — в здании ЦУ</t>
        </is>
      </c>
      <c r="D6" s="313" t="inlineStr">
        <is>
          <t>шт</t>
        </is>
      </c>
      <c r="E6" s="112" t="inlineStr">
        <is>
          <t>1 на СНП (здание по проекту)</t>
        </is>
      </c>
      <c r="F6" s="304" t="n">
        <v>1</v>
      </c>
      <c r="G6" s="304" t="n">
        <v>1</v>
      </c>
      <c r="H6" s="304" t="n">
        <v>1</v>
      </c>
      <c r="I6" s="304" t="n">
        <v>1</v>
      </c>
      <c r="J6" s="304" t="n">
        <v>1</v>
      </c>
      <c r="K6" s="304" t="n">
        <v>1</v>
      </c>
      <c r="L6" s="146">
        <f>SUM(F6:K6)</f>
        <v/>
      </c>
    </row>
    <row r="7" ht="24" customHeight="1" s="63">
      <c r="B7" s="314" t="n">
        <v>2</v>
      </c>
      <c r="C7" s="114" t="inlineStr">
        <is>
          <t>Шкаф зонный ОРШ уличный (под сплиттеры 1:64)</t>
        </is>
      </c>
      <c r="D7" s="314" t="inlineStr">
        <is>
          <t>шт</t>
        </is>
      </c>
      <c r="E7" s="114" t="inlineStr">
        <is>
          <t>1 на зону — в центре сектора (медиана зоны, зона ≥ 48 ДХ)</t>
        </is>
      </c>
      <c r="F7" s="305" t="n">
        <v>14</v>
      </c>
      <c r="G7" s="305" t="n"/>
      <c r="H7" s="305" t="n">
        <v>4</v>
      </c>
      <c r="I7" s="305" t="n">
        <v>9</v>
      </c>
      <c r="J7" s="305" t="n">
        <v>3</v>
      </c>
      <c r="K7" s="305" t="n">
        <v>6</v>
      </c>
      <c r="L7" s="147">
        <f>SUM(F7:K7)</f>
        <v/>
      </c>
    </row>
    <row r="8" ht="24" customHeight="1" s="63">
      <c r="B8" s="313" t="n">
        <v>3</v>
      </c>
      <c r="C8" s="112" t="inlineStr">
        <is>
          <t>Сплиттер PLC 1×64 (в ОРШ: ЦУ и зонных)</t>
        </is>
      </c>
      <c r="D8" s="313" t="inlineStr">
        <is>
          <t>шт</t>
        </is>
      </c>
      <c r="E8" s="112" t="inlineStr">
        <is>
          <t>ceil(ДХ зоны / 64), заполнение 75-100%</t>
        </is>
      </c>
      <c r="F8" s="304" t="n">
        <v>22</v>
      </c>
      <c r="G8" s="304" t="n">
        <v>2</v>
      </c>
      <c r="H8" s="304" t="n">
        <v>8</v>
      </c>
      <c r="I8" s="304" t="n">
        <v>14</v>
      </c>
      <c r="J8" s="304" t="n">
        <v>6</v>
      </c>
      <c r="K8" s="304" t="n">
        <v>13</v>
      </c>
      <c r="L8" s="146">
        <f>SUM(F8:K8)</f>
        <v/>
      </c>
    </row>
    <row r="9" ht="24" customHeight="1" s="63">
      <c r="B9" s="314" t="n">
        <v>4</v>
      </c>
      <c r="C9" s="114" t="inlineStr">
        <is>
          <t>Пигтейль SC/UPC для кросса ОРШ</t>
        </is>
      </c>
      <c r="D9" s="314" t="inlineStr">
        <is>
          <t>шт</t>
        </is>
      </c>
      <c r="E9" s="114" t="inlineStr">
        <is>
          <t>ДХ + 2 × сплиттеры 1:64</t>
        </is>
      </c>
      <c r="F9" s="305" t="n">
        <v>1073</v>
      </c>
      <c r="G9" s="305" t="n">
        <v>128</v>
      </c>
      <c r="H9" s="305" t="n">
        <v>392</v>
      </c>
      <c r="I9" s="305" t="n">
        <v>650</v>
      </c>
      <c r="J9" s="305" t="n">
        <v>298</v>
      </c>
      <c r="K9" s="305" t="n">
        <v>665</v>
      </c>
      <c r="L9" s="147">
        <f>SUM(F9:K9)</f>
        <v/>
      </c>
    </row>
    <row r="10" ht="24" customHeight="1" s="63">
      <c r="B10" s="313" t="n">
        <v>5</v>
      </c>
      <c r="C10" s="112" t="inlineStr">
        <is>
          <t>Порт PON OLT — справочно (активное оборудование, единый узел OLT)</t>
        </is>
      </c>
      <c r="D10" s="313" t="inlineStr">
        <is>
          <t>шт</t>
        </is>
      </c>
      <c r="E10" s="112" t="inlineStr">
        <is>
          <t>по числу сплиттеров 1:64</t>
        </is>
      </c>
      <c r="F10" s="304" t="n">
        <v>22</v>
      </c>
      <c r="G10" s="304" t="n">
        <v>2</v>
      </c>
      <c r="H10" s="304" t="n">
        <v>8</v>
      </c>
      <c r="I10" s="304" t="n">
        <v>14</v>
      </c>
      <c r="J10" s="304" t="n">
        <v>6</v>
      </c>
      <c r="K10" s="304" t="n">
        <v>13</v>
      </c>
      <c r="L10" s="146">
        <f>SUM(F10:K10)</f>
        <v/>
      </c>
    </row>
    <row r="11" ht="24" customHeight="1" s="63">
      <c r="B11" s="108" t="n"/>
      <c r="C11" s="108" t="inlineStr">
        <is>
          <t>Б. Кабельная продукция (длины с запасом на монтаж 10 %)</t>
        </is>
      </c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</row>
    <row r="12" ht="24" customHeight="1" s="63">
      <c r="B12" s="313" t="n">
        <v>6</v>
      </c>
      <c r="C12" s="112" t="inlineStr">
        <is>
          <t>Кабель оптический самонесущий, 8 волокон</t>
        </is>
      </c>
      <c r="D12" s="313" t="inlineStr">
        <is>
          <t>км</t>
        </is>
      </c>
      <c r="E12" s="112" t="inlineStr">
        <is>
          <t>распределение зоны max(8; 1,25 × ДХ потока) + фидер ceil(1,25 × сплиттеры зоны)</t>
        </is>
      </c>
      <c r="F12" s="306" t="n">
        <v>16.7</v>
      </c>
      <c r="G12" s="306" t="n">
        <v>2.6</v>
      </c>
      <c r="H12" s="306" t="n">
        <v>5</v>
      </c>
      <c r="I12" s="306" t="n">
        <v>9.9</v>
      </c>
      <c r="J12" s="306" t="n">
        <v>4.5</v>
      </c>
      <c r="K12" s="306" t="n">
        <v>4</v>
      </c>
      <c r="L12" s="148">
        <f>SUM(F12:K12)</f>
        <v/>
      </c>
    </row>
    <row r="13" ht="24" customHeight="1" s="63">
      <c r="B13" s="314" t="n">
        <v>7</v>
      </c>
      <c r="C13" s="114" t="inlineStr">
        <is>
          <t>Кабель оптический самонесущий, 12 волокон</t>
        </is>
      </c>
      <c r="D13" s="314" t="inlineStr">
        <is>
          <t>км</t>
        </is>
      </c>
      <c r="E13" s="114" t="inlineStr">
        <is>
          <t>то же</t>
        </is>
      </c>
      <c r="F13" s="308" t="n">
        <v>4.4</v>
      </c>
      <c r="G13" s="308" t="n">
        <v>0.6</v>
      </c>
      <c r="H13" s="308" t="n">
        <v>1.5</v>
      </c>
      <c r="I13" s="308" t="n">
        <v>3.5</v>
      </c>
      <c r="J13" s="308" t="n">
        <v>0.7</v>
      </c>
      <c r="K13" s="308" t="n">
        <v>1</v>
      </c>
      <c r="L13" s="149">
        <f>SUM(F13:K13)</f>
        <v/>
      </c>
    </row>
    <row r="14" ht="24" customHeight="1" s="63">
      <c r="B14" s="313" t="n">
        <v>8</v>
      </c>
      <c r="C14" s="112" t="inlineStr">
        <is>
          <t>Кабель оптический самонесущий, 16 волокон</t>
        </is>
      </c>
      <c r="D14" s="313" t="inlineStr">
        <is>
          <t>км</t>
        </is>
      </c>
      <c r="E14" s="112" t="inlineStr">
        <is>
          <t>то же</t>
        </is>
      </c>
      <c r="F14" s="306" t="n">
        <v>1.8</v>
      </c>
      <c r="G14" s="306" t="n">
        <v>0.5</v>
      </c>
      <c r="H14" s="306" t="n">
        <v>0.5</v>
      </c>
      <c r="I14" s="306" t="n">
        <v>1.6</v>
      </c>
      <c r="J14" s="306" t="n">
        <v>1.3</v>
      </c>
      <c r="K14" s="306" t="n">
        <v>1.1</v>
      </c>
      <c r="L14" s="148">
        <f>SUM(F14:K14)</f>
        <v/>
      </c>
    </row>
    <row r="15" ht="24" customHeight="1" s="63">
      <c r="B15" s="314" t="n">
        <v>9</v>
      </c>
      <c r="C15" s="114" t="inlineStr">
        <is>
          <t>Кабель оптический самонесущий, 24 волокна</t>
        </is>
      </c>
      <c r="D15" s="314" t="inlineStr">
        <is>
          <t>км</t>
        </is>
      </c>
      <c r="E15" s="114" t="inlineStr">
        <is>
          <t>то же</t>
        </is>
      </c>
      <c r="F15" s="308" t="n">
        <v>6</v>
      </c>
      <c r="G15" s="308" t="n">
        <v>1</v>
      </c>
      <c r="H15" s="308" t="n">
        <v>2</v>
      </c>
      <c r="I15" s="308" t="n">
        <v>3.1</v>
      </c>
      <c r="J15" s="308" t="n">
        <v>1.4</v>
      </c>
      <c r="K15" s="308" t="n">
        <v>1.4</v>
      </c>
      <c r="L15" s="149">
        <f>SUM(F15:K15)</f>
        <v/>
      </c>
    </row>
    <row r="16" ht="24" customHeight="1" s="63">
      <c r="B16" s="313" t="n">
        <v>10</v>
      </c>
      <c r="C16" s="112" t="inlineStr">
        <is>
          <t>Кабель оптический самонесущий, 32 волокна</t>
        </is>
      </c>
      <c r="D16" s="313" t="inlineStr">
        <is>
          <t>км</t>
        </is>
      </c>
      <c r="E16" s="112" t="inlineStr">
        <is>
          <t>то же</t>
        </is>
      </c>
      <c r="F16" s="306" t="n">
        <v>2.2</v>
      </c>
      <c r="G16" s="306" t="n">
        <v>0.4</v>
      </c>
      <c r="H16" s="306" t="n">
        <v>1.1</v>
      </c>
      <c r="I16" s="306" t="n">
        <v>1.8</v>
      </c>
      <c r="J16" s="306" t="n">
        <v>0.8</v>
      </c>
      <c r="K16" s="306" t="n">
        <v>0.8</v>
      </c>
      <c r="L16" s="148">
        <f>SUM(F16:K16)</f>
        <v/>
      </c>
    </row>
    <row r="17" ht="24" customHeight="1" s="63">
      <c r="B17" s="314" t="n">
        <v>11</v>
      </c>
      <c r="C17" s="114" t="inlineStr">
        <is>
          <t>Кабель оптический самонесущий, 48 волокон</t>
        </is>
      </c>
      <c r="D17" s="314" t="inlineStr">
        <is>
          <t>км</t>
        </is>
      </c>
      <c r="E17" s="114" t="inlineStr">
        <is>
          <t>то же</t>
        </is>
      </c>
      <c r="F17" s="308" t="n">
        <v>1.7</v>
      </c>
      <c r="G17" s="308" t="n">
        <v>0.2</v>
      </c>
      <c r="H17" s="308" t="n">
        <v>1.1</v>
      </c>
      <c r="I17" s="308" t="n">
        <v>1.5</v>
      </c>
      <c r="J17" s="308" t="n">
        <v>0.4</v>
      </c>
      <c r="K17" s="308" t="n">
        <v>1</v>
      </c>
      <c r="L17" s="149">
        <f>SUM(F17:K17)</f>
        <v/>
      </c>
    </row>
    <row r="18" ht="24" customHeight="1" s="63">
      <c r="B18" s="313" t="n">
        <v>12</v>
      </c>
      <c r="C18" s="112" t="inlineStr">
        <is>
          <t>Кабель оптический самонесущий, 64 волокна</t>
        </is>
      </c>
      <c r="D18" s="313" t="inlineStr">
        <is>
          <t>км</t>
        </is>
      </c>
      <c r="E18" s="112" t="inlineStr">
        <is>
          <t>то же</t>
        </is>
      </c>
      <c r="F18" s="306" t="n">
        <v>0.7</v>
      </c>
      <c r="G18" s="306" t="n">
        <v>0.3</v>
      </c>
      <c r="H18" s="306" t="n">
        <v>0.5</v>
      </c>
      <c r="I18" s="306" t="n">
        <v>0.4</v>
      </c>
      <c r="J18" s="306" t="n">
        <v>0.3</v>
      </c>
      <c r="K18" s="306" t="n">
        <v>0.4</v>
      </c>
      <c r="L18" s="148">
        <f>SUM(F18:K18)</f>
        <v/>
      </c>
    </row>
    <row r="19" ht="24" customHeight="1" s="63">
      <c r="B19" s="314" t="n">
        <v>13</v>
      </c>
      <c r="C19" s="114" t="inlineStr">
        <is>
          <t>Кабель оптический самонесущий, 72 волокна</t>
        </is>
      </c>
      <c r="D19" s="314" t="inlineStr">
        <is>
          <t>км</t>
        </is>
      </c>
      <c r="E19" s="114" t="inlineStr">
        <is>
          <t>то же</t>
        </is>
      </c>
      <c r="F19" s="308" t="n">
        <v>0.4</v>
      </c>
      <c r="G19" s="308" t="n"/>
      <c r="H19" s="308" t="n"/>
      <c r="I19" s="308" t="n"/>
      <c r="J19" s="308" t="n"/>
      <c r="K19" s="308" t="n">
        <v>0.3</v>
      </c>
      <c r="L19" s="149">
        <f>SUM(F19:K19)</f>
        <v/>
      </c>
    </row>
    <row r="20" ht="24" customHeight="1" s="63">
      <c r="B20" s="313" t="n">
        <v>14</v>
      </c>
      <c r="C20" s="112" t="inlineStr">
        <is>
          <t>Кабель оптический самонесущий, 96 волокон</t>
        </is>
      </c>
      <c r="D20" s="313" t="inlineStr">
        <is>
          <t>км</t>
        </is>
      </c>
      <c r="E20" s="112" t="inlineStr">
        <is>
          <t>то же</t>
        </is>
      </c>
      <c r="F20" s="306" t="n">
        <v>0.1</v>
      </c>
      <c r="G20" s="306" t="n">
        <v>0.1</v>
      </c>
      <c r="H20" s="306" t="n">
        <v>0.2</v>
      </c>
      <c r="I20" s="306" t="n"/>
      <c r="J20" s="306" t="n">
        <v>0.1</v>
      </c>
      <c r="K20" s="306" t="n">
        <v>0.2</v>
      </c>
      <c r="L20" s="148">
        <f>SUM(F20:K20)</f>
        <v/>
      </c>
    </row>
    <row r="21" ht="24" customHeight="1" s="63">
      <c r="B21" s="314" t="n">
        <v>15</v>
      </c>
      <c r="C21" s="114" t="inlineStr">
        <is>
          <t>Кабель дроп-кабельный самонесущий, 2 волокна (1 раб. + 1 рез.)</t>
        </is>
      </c>
      <c r="D21" s="314" t="inlineStr">
        <is>
          <t>км</t>
        </is>
      </c>
      <c r="E21" s="114" t="inlineStr">
        <is>
          <t>дропы × 1,05 (без подводок — дроп от муфты напрямую)</t>
        </is>
      </c>
      <c r="F21" s="308" t="n">
        <v>41.7</v>
      </c>
      <c r="G21" s="308" t="n">
        <v>5.2</v>
      </c>
      <c r="H21" s="308" t="n">
        <v>15.8</v>
      </c>
      <c r="I21" s="308" t="n">
        <v>27.2</v>
      </c>
      <c r="J21" s="308" t="n">
        <v>12.9</v>
      </c>
      <c r="K21" s="308" t="n">
        <v>23.5</v>
      </c>
      <c r="L21" s="149">
        <f>SUM(F21:K21)</f>
        <v/>
      </c>
    </row>
    <row r="22" ht="24" customHeight="1" s="63">
      <c r="B22" s="313" t="n">
        <v>16</v>
      </c>
      <c r="C22" s="112" t="inlineStr">
        <is>
          <t>Справочно: суммарная ёмкость магистрального кабеля</t>
        </is>
      </c>
      <c r="D22" s="313" t="inlineStr">
        <is>
          <t>волокно-км</t>
        </is>
      </c>
      <c r="E22" s="112" t="inlineStr">
        <is>
          <t>Σ (длина участка × волокна)</t>
        </is>
      </c>
      <c r="F22" s="306" t="n">
        <v>524.8</v>
      </c>
      <c r="G22" s="306" t="n">
        <v>90</v>
      </c>
      <c r="H22" s="306" t="n">
        <v>218.5</v>
      </c>
      <c r="I22" s="306" t="n">
        <v>329.9</v>
      </c>
      <c r="J22" s="306" t="n">
        <v>141.2</v>
      </c>
      <c r="K22" s="306" t="n">
        <v>192.7</v>
      </c>
      <c r="L22" s="148">
        <f>SUM(F22:K22)</f>
        <v/>
      </c>
    </row>
    <row r="23" ht="24" customHeight="1" s="63">
      <c r="B23" s="108" t="n"/>
      <c r="C23" s="108" t="inlineStr">
        <is>
          <t>В. Пассивные узлы</t>
        </is>
      </c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</row>
    <row r="24" ht="24" customHeight="1" s="63">
      <c r="B24" s="313" t="n">
        <v>17</v>
      </c>
      <c r="C24" s="112" t="inlineStr">
        <is>
          <t>Муфта оптическая (ветвления магистрали)</t>
        </is>
      </c>
      <c r="D24" s="313" t="inlineStr">
        <is>
          <t>шт</t>
        </is>
      </c>
      <c r="E24" s="112" t="inlineStr">
        <is>
          <t>узлы ветвления кроме точек врезов зонных ОРШ; транзит — неразрезным кабелем</t>
        </is>
      </c>
      <c r="F24" s="304" t="n">
        <v>367</v>
      </c>
      <c r="G24" s="304" t="n">
        <v>70</v>
      </c>
      <c r="H24" s="304" t="n">
        <v>158</v>
      </c>
      <c r="I24" s="304" t="n">
        <v>246</v>
      </c>
      <c r="J24" s="304" t="n">
        <v>119</v>
      </c>
      <c r="K24" s="304" t="n">
        <v>143</v>
      </c>
      <c r="L24" s="146">
        <f>SUM(F24:K24)</f>
        <v/>
      </c>
    </row>
    <row r="25" ht="24" customHeight="1" s="63">
      <c r="B25" s="108" t="n"/>
      <c r="C25" s="108" t="inlineStr">
        <is>
          <t>Г. Материалы для монтажа</t>
        </is>
      </c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</row>
    <row r="26" ht="24" customHeight="1" s="63">
      <c r="B26" s="313" t="n">
        <v>18</v>
      </c>
      <c r="C26" s="112" t="inlineStr">
        <is>
          <t>Бокс абонентский оптический с адаптером SC/UPC</t>
        </is>
      </c>
      <c r="D26" s="313" t="inlineStr">
        <is>
          <t>шт</t>
        </is>
      </c>
      <c r="E26" s="112" t="inlineStr">
        <is>
          <t>1 на ДХ</t>
        </is>
      </c>
      <c r="F26" s="304" t="n">
        <v>1029</v>
      </c>
      <c r="G26" s="304" t="n">
        <v>124</v>
      </c>
      <c r="H26" s="304" t="n">
        <v>376</v>
      </c>
      <c r="I26" s="304" t="n">
        <v>622</v>
      </c>
      <c r="J26" s="304" t="n">
        <v>286</v>
      </c>
      <c r="K26" s="304" t="n">
        <v>639</v>
      </c>
      <c r="L26" s="146">
        <f>SUM(F26:K26)</f>
        <v/>
      </c>
    </row>
    <row r="27" ht="24" customHeight="1" s="63">
      <c r="B27" s="314" t="n">
        <v>19</v>
      </c>
      <c r="C27" s="114" t="inlineStr">
        <is>
          <t>Коннектор оптический механический SC/UPC</t>
        </is>
      </c>
      <c r="D27" s="314" t="inlineStr">
        <is>
          <t>шт</t>
        </is>
      </c>
      <c r="E27" s="114" t="inlineStr">
        <is>
          <t>ДХ × 1,1 (абонентский бокс)</t>
        </is>
      </c>
      <c r="F27" s="305" t="n">
        <v>1132</v>
      </c>
      <c r="G27" s="305" t="n">
        <v>137</v>
      </c>
      <c r="H27" s="305" t="n">
        <v>414</v>
      </c>
      <c r="I27" s="305" t="n">
        <v>685</v>
      </c>
      <c r="J27" s="305" t="n">
        <v>315</v>
      </c>
      <c r="K27" s="305" t="n">
        <v>703</v>
      </c>
      <c r="L27" s="147">
        <f>SUM(F27:K27)</f>
        <v/>
      </c>
    </row>
    <row r="28" ht="24" customHeight="1" s="63">
      <c r="B28" s="313" t="n">
        <v>20</v>
      </c>
      <c r="C28" s="112" t="inlineStr">
        <is>
          <t>Сварное соединение (оценка объёма работ)</t>
        </is>
      </c>
      <c r="D28" s="313" t="inlineStr">
        <is>
          <t>шт</t>
        </is>
      </c>
      <c r="E28" s="112" t="inlineStr">
        <is>
          <t>(2 × ДХ + 2 × сплиттеры 1:64) × 1,1</t>
        </is>
      </c>
      <c r="F28" s="304" t="n">
        <v>2313</v>
      </c>
      <c r="G28" s="304" t="n">
        <v>278</v>
      </c>
      <c r="H28" s="304" t="n">
        <v>845</v>
      </c>
      <c r="I28" s="304" t="n">
        <v>1400</v>
      </c>
      <c r="J28" s="304" t="n">
        <v>643</v>
      </c>
      <c r="K28" s="304" t="n">
        <v>1435</v>
      </c>
      <c r="L28" s="146">
        <f>SUM(F28:K28)</f>
        <v/>
      </c>
    </row>
    <row r="29" ht="24" customHeight="1" s="63">
      <c r="B29" s="314" t="n">
        <v>21</v>
      </c>
      <c r="C29" s="114" t="inlineStr">
        <is>
          <t>Гильза КДЗС, 60 мм</t>
        </is>
      </c>
      <c r="D29" s="314" t="inlineStr">
        <is>
          <t>шт</t>
        </is>
      </c>
      <c r="E29" s="114" t="inlineStr">
        <is>
          <t>по числу сварных соединений</t>
        </is>
      </c>
      <c r="F29" s="305" t="n">
        <v>2313</v>
      </c>
      <c r="G29" s="305" t="n">
        <v>278</v>
      </c>
      <c r="H29" s="305" t="n">
        <v>845</v>
      </c>
      <c r="I29" s="305" t="n">
        <v>1400</v>
      </c>
      <c r="J29" s="305" t="n">
        <v>643</v>
      </c>
      <c r="K29" s="305" t="n">
        <v>1435</v>
      </c>
      <c r="L29" s="147">
        <f>SUM(F29:K29)</f>
        <v/>
      </c>
    </row>
    <row r="30" ht="24" customHeight="1" s="63">
      <c r="B30" s="313" t="n">
        <v>22</v>
      </c>
      <c r="C30" s="112" t="inlineStr">
        <is>
          <t>Комплект подвеса магистрального кабеля (кронштейн + спиральный зажим)</t>
        </is>
      </c>
      <c r="D30" s="313" t="inlineStr">
        <is>
          <t>компл</t>
        </is>
      </c>
      <c r="E30" s="112" t="inlineStr">
        <is>
          <t>30 на 1 км кабеля</t>
        </is>
      </c>
      <c r="F30" s="304" t="n">
        <v>918</v>
      </c>
      <c r="G30" s="304" t="n">
        <v>144</v>
      </c>
      <c r="H30" s="304" t="n">
        <v>316</v>
      </c>
      <c r="I30" s="304" t="n">
        <v>584</v>
      </c>
      <c r="J30" s="304" t="n">
        <v>247</v>
      </c>
      <c r="K30" s="304" t="n">
        <v>263</v>
      </c>
      <c r="L30" s="146">
        <f>SUM(F30:K30)</f>
        <v/>
      </c>
    </row>
    <row r="31" ht="24" customHeight="1" s="63">
      <c r="B31" s="314" t="n">
        <v>23</v>
      </c>
      <c r="C31" s="114" t="inlineStr">
        <is>
          <t>Анкерный зажим дроп-кабеля</t>
        </is>
      </c>
      <c r="D31" s="314" t="inlineStr">
        <is>
          <t>шт</t>
        </is>
      </c>
      <c r="E31" s="114" t="inlineStr">
        <is>
          <t>2 на ДХ</t>
        </is>
      </c>
      <c r="F31" s="305" t="n">
        <v>2058</v>
      </c>
      <c r="G31" s="305" t="n">
        <v>248</v>
      </c>
      <c r="H31" s="305" t="n">
        <v>752</v>
      </c>
      <c r="I31" s="305" t="n">
        <v>1244</v>
      </c>
      <c r="J31" s="305" t="n">
        <v>572</v>
      </c>
      <c r="K31" s="305" t="n">
        <v>1278</v>
      </c>
      <c r="L31" s="147">
        <f>SUM(F31:K31)</f>
        <v/>
      </c>
    </row>
    <row r="32" ht="24" customHeight="1" s="63">
      <c r="B32" s="313" t="n">
        <v>24</v>
      </c>
      <c r="C32" s="112" t="inlineStr">
        <is>
          <t>Крепёж дроп-кабеля (скобы / хомуты)</t>
        </is>
      </c>
      <c r="D32" s="313" t="inlineStr">
        <is>
          <t>шт</t>
        </is>
      </c>
      <c r="E32" s="112" t="inlineStr">
        <is>
          <t>6 на ДХ</t>
        </is>
      </c>
      <c r="F32" s="304" t="n">
        <v>6174</v>
      </c>
      <c r="G32" s="304" t="n">
        <v>744</v>
      </c>
      <c r="H32" s="304" t="n">
        <v>2256</v>
      </c>
      <c r="I32" s="304" t="n">
        <v>3732</v>
      </c>
      <c r="J32" s="304" t="n">
        <v>1716</v>
      </c>
      <c r="K32" s="304" t="n">
        <v>3834</v>
      </c>
      <c r="L32" s="146">
        <f>SUM(F32:K32)</f>
        <v/>
      </c>
    </row>
    <row r="34" ht="14" customHeight="1" s="63">
      <c r="B34" s="107" t="inlineStr">
        <is>
          <t>Значения в графах сел — потребность по проекту; графа «ИТОГО» — сумма по шести СНП. Единицы измерения разнородны, итог по столбцам не приводится.</t>
        </is>
      </c>
    </row>
    <row r="35" ht="14" customHeight="1" s="63">
      <c r="B35" s="107" t="inlineStr">
        <is>
          <t>Схема D (уточнённая детекция ДХ, полная VLM-верификация): 36 зон + 6 ЦУ = 42 ОРШ; заполнение сплиттеров 1:64 — 75-100%; ср. волоконный маршрут ДХ 279 м (против 1361 м в централизованной). Карты зон ОРШ по всем СНП — download/snp_vko.</t>
        </is>
      </c>
    </row>
    <row r="36" ht="14" customHeight="1" s="63">
      <c r="B36" s="107" t="inlineStr">
        <is>
          <t>Солнечное: зонные ОРШ не образуются (село компактное, экономия волокна ниже порога S_MIN) — вся нагрузка на ЦУ.</t>
        </is>
      </c>
    </row>
  </sheetData>
  <mergeCells count="4">
    <mergeCell ref="B2:L2"/>
    <mergeCell ref="B34:L34"/>
    <mergeCell ref="B35:L35"/>
    <mergeCell ref="B36:L36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V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16" customWidth="1" style="62" min="3" max="3"/>
    <col width="21" customWidth="1" style="62" min="4" max="4"/>
    <col width="9" customWidth="1" style="62" min="5" max="6"/>
    <col width="8" customWidth="1" style="62" min="7" max="7"/>
    <col width="7" customWidth="1" style="62" min="8" max="8"/>
    <col width="10" customWidth="1" style="62" min="9" max="10"/>
    <col width="9" customWidth="1" style="62" min="11" max="11"/>
    <col width="10" customWidth="1" style="62" min="12" max="12"/>
    <col width="9" customWidth="1" style="62" min="13" max="13"/>
    <col width="10" customWidth="1" style="62" min="14" max="16"/>
    <col width="9" customWidth="1" style="62" min="17" max="21"/>
    <col width="40" customWidth="1" style="62" min="22" max="22"/>
  </cols>
  <sheetData>
    <row r="2" ht="31.5" customHeight="1" s="63">
      <c r="B2" s="64" t="inlineStr">
        <is>
          <t>Параметры FTTH-сетей по СНП — каскадная схема (1:4 в ОРШ + 1:16 в РОР)</t>
        </is>
      </c>
    </row>
    <row r="3" ht="13.5" customHeight="1" s="63">
      <c r="B3" s="65" t="inlineStr">
        <is>
          <t>ДХ — домохозяйства; РОР — пункт распределительный оптический (бокс со сплиттером 1:16, кластер до 16 ДХ в радиусе 150 м). «Верхний участок» — максимум волокон магистрали на одном участке (у ОРШ). Подготовлено 18.09.2026</t>
        </is>
      </c>
    </row>
    <row r="4" ht="27.75" customHeight="1" s="63">
      <c r="B4" s="66" t="inlineStr">
        <is>
          <t>№</t>
        </is>
      </c>
      <c r="C4" s="66" t="inlineStr">
        <is>
          <t>СНП</t>
        </is>
      </c>
      <c r="D4" s="66" t="inlineStr">
        <is>
          <t>Район / с.о.</t>
        </is>
      </c>
      <c r="E4" s="66" t="inlineStr">
        <is>
          <t>ДХ (заказ)</t>
        </is>
      </c>
      <c r="F4" s="66" t="inlineStr">
        <is>
          <t>ДХ (проект)</t>
        </is>
      </c>
      <c r="G4" s="66" t="inlineStr">
        <is>
          <t>Δ к заказу</t>
        </is>
      </c>
      <c r="H4" s="66" t="inlineStr">
        <is>
          <t>РОР</t>
        </is>
      </c>
      <c r="I4" s="66" t="inlineStr">
        <is>
          <t>Сплиттеры 1:16, 2-я ступ.</t>
        </is>
      </c>
      <c r="J4" s="66" t="inlineStr">
        <is>
          <t>Заполнение портов, %</t>
        </is>
      </c>
      <c r="K4" s="66" t="inlineStr">
        <is>
          <t>Муфты (ветв.)</t>
        </is>
      </c>
      <c r="L4" s="66" t="inlineStr">
        <is>
          <t>Магистраль, км</t>
        </is>
      </c>
      <c r="M4" s="66" t="inlineStr">
        <is>
          <t>Волокно-км</t>
        </is>
      </c>
      <c r="N4" s="66" t="inlineStr">
        <is>
          <t>Верхний участок, волокон</t>
        </is>
      </c>
      <c r="O4" s="66" t="inlineStr">
        <is>
          <t>Дропы проект, км</t>
        </is>
      </c>
      <c r="P4" s="66" t="inlineStr">
        <is>
          <t>Подводки РОР→ДХ, км</t>
        </is>
      </c>
      <c r="Q4" s="66" t="inlineStr">
        <is>
          <t>Дроп-кабель, км</t>
        </is>
      </c>
      <c r="R4" s="66" t="inlineStr">
        <is>
          <t>Ср. дроп, м</t>
        </is>
      </c>
      <c r="S4" s="66" t="inlineStr">
        <is>
          <t>Макс. дроп, м</t>
        </is>
      </c>
      <c r="T4" s="66" t="inlineStr">
        <is>
          <t>ОРШ, портов</t>
        </is>
      </c>
      <c r="U4" s="66" t="inlineStr">
        <is>
          <t>Сплиттеры 1:4, 1-я ступ.</t>
        </is>
      </c>
      <c r="V4" s="66" t="inlineStr">
        <is>
          <t>Примечание</t>
        </is>
      </c>
    </row>
    <row r="5" ht="30" customHeight="1" s="63">
      <c r="B5" s="68" t="inlineStr">
        <is>
          <t>01</t>
        </is>
      </c>
      <c r="C5" s="69" t="inlineStr">
        <is>
          <t>Верхнеберезовка</t>
        </is>
      </c>
      <c r="D5" s="68" t="inlineStr">
        <is>
          <t>Глубоковский р-н / Верхнеберезовский с.о.</t>
        </is>
      </c>
      <c r="E5" s="70" t="n">
        <v>940</v>
      </c>
      <c r="F5" s="70" t="n">
        <v>799</v>
      </c>
      <c r="G5" s="80">
        <f>IFERROR(F5/E5-1,"")</f>
        <v/>
      </c>
      <c r="H5" s="70" t="n">
        <v>114</v>
      </c>
      <c r="I5" s="70" t="n">
        <v>114</v>
      </c>
      <c r="J5" s="81" t="n">
        <v>43.8</v>
      </c>
      <c r="K5" s="70" t="n">
        <v>27</v>
      </c>
      <c r="L5" s="82" t="n">
        <v>22.79</v>
      </c>
      <c r="M5" s="76" t="n">
        <v>369</v>
      </c>
      <c r="N5" s="70" t="n">
        <v>128</v>
      </c>
      <c r="O5" s="82" t="n">
        <v>32.63</v>
      </c>
      <c r="P5" s="82" t="n">
        <v>48.03</v>
      </c>
      <c r="Q5" s="76" t="n">
        <v>84.7</v>
      </c>
      <c r="R5" s="70" t="n">
        <v>101</v>
      </c>
      <c r="S5" s="70" t="n">
        <v>266</v>
      </c>
      <c r="T5" s="70" t="n">
        <v>144</v>
      </c>
      <c r="U5" s="70" t="n">
        <v>29</v>
      </c>
      <c r="V5" s="69" t="inlineStr">
        <is>
          <t>ОРШ: здание пожарной части №26 (198 м²). полная сеть села (кадр пользователя не предоставлялся; сеть подтверждена)</t>
        </is>
      </c>
    </row>
    <row r="6" ht="30" customHeight="1" s="63">
      <c r="B6" s="72" t="inlineStr">
        <is>
          <t>02</t>
        </is>
      </c>
      <c r="C6" s="73" t="inlineStr">
        <is>
          <t>Солнечное</t>
        </is>
      </c>
      <c r="D6" s="72" t="inlineStr">
        <is>
          <t>Глубоковский р-н / Бобровский с.о.</t>
        </is>
      </c>
      <c r="E6" s="74" t="n">
        <v>366</v>
      </c>
      <c r="F6" s="74" t="n">
        <v>112</v>
      </c>
      <c r="G6" s="83">
        <f>IFERROR(F6/E6-1,"")</f>
        <v/>
      </c>
      <c r="H6" s="74" t="n">
        <v>19</v>
      </c>
      <c r="I6" s="74" t="n">
        <v>19</v>
      </c>
      <c r="J6" s="84" t="n">
        <v>36.8</v>
      </c>
      <c r="K6" s="74" t="n">
        <v>6</v>
      </c>
      <c r="L6" s="85" t="n">
        <v>3.37</v>
      </c>
      <c r="M6" s="78" t="n">
        <v>28.5</v>
      </c>
      <c r="N6" s="74" t="n">
        <v>14</v>
      </c>
      <c r="O6" s="85" t="n">
        <v>3.66</v>
      </c>
      <c r="P6" s="85" t="n">
        <v>6.76</v>
      </c>
      <c r="Q6" s="78" t="n">
        <v>11</v>
      </c>
      <c r="R6" s="74" t="n">
        <v>93.09999999999999</v>
      </c>
      <c r="S6" s="74" t="n">
        <v>197.4</v>
      </c>
      <c r="T6" s="74" t="n">
        <v>144</v>
      </c>
      <c r="U6" s="74" t="n">
        <v>5</v>
      </c>
      <c r="V6" s="73" t="inlineStr">
        <is>
          <t>ОРШ: общественное здание в центре села (145,7 м²). в границах предоставленного кадра; 4 ДХ западной окраины вне дорог OSM</t>
        </is>
      </c>
    </row>
    <row r="7" ht="30" customHeight="1" s="63">
      <c r="B7" s="68" t="inlineStr">
        <is>
          <t>03</t>
        </is>
      </c>
      <c r="C7" s="69" t="inlineStr">
        <is>
          <t>Перевальное</t>
        </is>
      </c>
      <c r="D7" s="68" t="inlineStr">
        <is>
          <t>Глубоковский р-н / Красноярский с.о.</t>
        </is>
      </c>
      <c r="E7" s="70" t="n">
        <v>339</v>
      </c>
      <c r="F7" s="70" t="n">
        <v>350</v>
      </c>
      <c r="G7" s="80">
        <f>IFERROR(F7/E7-1,"")</f>
        <v/>
      </c>
      <c r="H7" s="70" t="n">
        <v>43</v>
      </c>
      <c r="I7" s="70" t="n">
        <v>43</v>
      </c>
      <c r="J7" s="81" t="n">
        <v>50.9</v>
      </c>
      <c r="K7" s="70" t="n">
        <v>13</v>
      </c>
      <c r="L7" s="82" t="n">
        <v>8.59</v>
      </c>
      <c r="M7" s="76" t="n">
        <v>105.3</v>
      </c>
      <c r="N7" s="70" t="n">
        <v>54</v>
      </c>
      <c r="O7" s="82" t="n">
        <v>12</v>
      </c>
      <c r="P7" s="82" t="n">
        <v>21.4</v>
      </c>
      <c r="Q7" s="76" t="n">
        <v>35.1</v>
      </c>
      <c r="R7" s="70" t="n">
        <v>95.40000000000001</v>
      </c>
      <c r="S7" s="70" t="n">
        <v>232.2</v>
      </c>
      <c r="T7" s="70" t="n">
        <v>144</v>
      </c>
      <c r="U7" s="70" t="n">
        <v>11</v>
      </c>
      <c r="V7" s="69" t="inlineStr">
        <is>
          <t>ОРШ: общественное здание в центре (417 м²). в границах предоставленного кадра</t>
        </is>
      </c>
    </row>
    <row r="8" ht="30" customHeight="1" s="63">
      <c r="B8" s="72" t="inlineStr">
        <is>
          <t>04</t>
        </is>
      </c>
      <c r="C8" s="73" t="inlineStr">
        <is>
          <t>Винное</t>
        </is>
      </c>
      <c r="D8" s="72" t="inlineStr">
        <is>
          <t>Глубоковский р-н / Тарханский с.о.</t>
        </is>
      </c>
      <c r="E8" s="74" t="n">
        <v>490</v>
      </c>
      <c r="F8" s="74" t="n">
        <v>550</v>
      </c>
      <c r="G8" s="83">
        <f>IFERROR(F8/E8-1,"")</f>
        <v/>
      </c>
      <c r="H8" s="74" t="n">
        <v>74</v>
      </c>
      <c r="I8" s="74" t="n">
        <v>74</v>
      </c>
      <c r="J8" s="84" t="n">
        <v>46.5</v>
      </c>
      <c r="K8" s="74" t="n">
        <v>23</v>
      </c>
      <c r="L8" s="85" t="n">
        <v>15.08</v>
      </c>
      <c r="M8" s="78" t="n">
        <v>219.2</v>
      </c>
      <c r="N8" s="74" t="n">
        <v>93</v>
      </c>
      <c r="O8" s="85" t="n">
        <v>24.9</v>
      </c>
      <c r="P8" s="85" t="n">
        <v>33.76</v>
      </c>
      <c r="Q8" s="78" t="n">
        <v>61.6</v>
      </c>
      <c r="R8" s="74" t="n">
        <v>106.7</v>
      </c>
      <c r="S8" s="74" t="n">
        <v>247.1</v>
      </c>
      <c r="T8" s="74" t="n">
        <v>144</v>
      </c>
      <c r="U8" s="74" t="n">
        <v>19</v>
      </c>
      <c r="V8" s="73" t="inlineStr">
        <is>
          <t>ОРШ: здание у перекрёстка в центре (96 м²). полная сеть села на кадре пользователя; 5 ДХ за верхней кромкой кадра</t>
        </is>
      </c>
    </row>
    <row r="9" ht="30" customHeight="1" s="63">
      <c r="B9" s="68" t="inlineStr">
        <is>
          <t>05</t>
        </is>
      </c>
      <c r="C9" s="69" t="inlineStr">
        <is>
          <t>Пригородное</t>
        </is>
      </c>
      <c r="D9" s="68" t="inlineStr">
        <is>
          <t>г. Риддер</t>
        </is>
      </c>
      <c r="E9" s="70" t="n">
        <v>365</v>
      </c>
      <c r="F9" s="70" t="n">
        <v>244</v>
      </c>
      <c r="G9" s="80">
        <f>IFERROR(F9/E9-1,"")</f>
        <v/>
      </c>
      <c r="H9" s="70" t="n">
        <v>34</v>
      </c>
      <c r="I9" s="70" t="n">
        <v>34</v>
      </c>
      <c r="J9" s="81" t="n">
        <v>44.9</v>
      </c>
      <c r="K9" s="70" t="n">
        <v>12</v>
      </c>
      <c r="L9" s="82" t="n">
        <v>6.57</v>
      </c>
      <c r="M9" s="76" t="n">
        <v>91.5</v>
      </c>
      <c r="N9" s="70" t="n">
        <v>42</v>
      </c>
      <c r="O9" s="82" t="n">
        <v>8.77</v>
      </c>
      <c r="P9" s="82" t="n">
        <v>14.35</v>
      </c>
      <c r="Q9" s="76" t="n">
        <v>24.3</v>
      </c>
      <c r="R9" s="70" t="n">
        <v>94.7</v>
      </c>
      <c r="S9" s="70" t="n">
        <v>211</v>
      </c>
      <c r="T9" s="70" t="n">
        <v>144</v>
      </c>
      <c r="U9" s="70" t="n">
        <v>9</v>
      </c>
      <c r="V9" s="69" t="inlineStr">
        <is>
          <t>ОРШ: нежилое здание у развилки дорог (84 м²). в границах предоставленного кадра; 1 ДХ вне дорог OSM</t>
        </is>
      </c>
    </row>
    <row r="10" ht="30" customHeight="1" s="63">
      <c r="B10" s="72" t="inlineStr">
        <is>
          <t>06</t>
        </is>
      </c>
      <c r="C10" s="73" t="inlineStr">
        <is>
          <t>Алтайский</t>
        </is>
      </c>
      <c r="D10" s="72" t="inlineStr">
        <is>
          <t>Глубоковский р-н / Алтайский с.о.</t>
        </is>
      </c>
      <c r="E10" s="74" t="n">
        <v>716</v>
      </c>
      <c r="F10" s="74" t="n">
        <v>279</v>
      </c>
      <c r="G10" s="83">
        <f>IFERROR(F10/E10-1,"")</f>
        <v/>
      </c>
      <c r="H10" s="74" t="n">
        <v>39</v>
      </c>
      <c r="I10" s="74" t="n">
        <v>39</v>
      </c>
      <c r="J10" s="84" t="n">
        <v>44.7</v>
      </c>
      <c r="K10" s="74" t="n">
        <v>19</v>
      </c>
      <c r="L10" s="85" t="n">
        <v>6.66</v>
      </c>
      <c r="M10" s="78" t="n">
        <v>75.7</v>
      </c>
      <c r="N10" s="74" t="n">
        <v>37</v>
      </c>
      <c r="O10" s="85" t="n">
        <v>8.93</v>
      </c>
      <c r="P10" s="85" t="n">
        <v>16.98</v>
      </c>
      <c r="Q10" s="78" t="n">
        <v>27.3</v>
      </c>
      <c r="R10" s="74" t="n">
        <v>92.90000000000001</v>
      </c>
      <c r="S10" s="74" t="n">
        <v>226.3</v>
      </c>
      <c r="T10" s="74" t="n">
        <v>144</v>
      </c>
      <c r="U10" s="74" t="n">
        <v>10</v>
      </c>
      <c r="V10" s="73" t="inlineStr">
        <is>
          <t>ОРШ: здание на развилке дорог (156 м²). в границах предоставленного кадра; застройка вдоль долины, офиц. число ДХ включает весь с.о.</t>
        </is>
      </c>
    </row>
    <row r="11" ht="25.5" customHeight="1" s="63">
      <c r="B11" s="86" t="n"/>
      <c r="C11" s="86" t="inlineStr">
        <is>
          <t>ИТОГО / справочно</t>
        </is>
      </c>
      <c r="D11" s="86" t="n"/>
      <c r="E11" s="87">
        <f>SUM(E5:E10)</f>
        <v/>
      </c>
      <c r="F11" s="87">
        <f>SUM(F5:F10)</f>
        <v/>
      </c>
      <c r="G11" s="88">
        <f>IFERROR(F11/E11-1,"")</f>
        <v/>
      </c>
      <c r="H11" s="87">
        <f>SUM(H5:H10)</f>
        <v/>
      </c>
      <c r="I11" s="87">
        <f>SUM(I5:I10)</f>
        <v/>
      </c>
      <c r="J11" s="89">
        <f>IFERROR(F11/(I11*16)*100,"")</f>
        <v/>
      </c>
      <c r="K11" s="87">
        <f>SUM(K5:K10)</f>
        <v/>
      </c>
      <c r="L11" s="90">
        <f>SUM(L5:L10)</f>
        <v/>
      </c>
      <c r="M11" s="91">
        <f>SUM(M5:M10)</f>
        <v/>
      </c>
      <c r="N11" s="86" t="n"/>
      <c r="O11" s="90">
        <f>SUM(O5:O10)</f>
        <v/>
      </c>
      <c r="P11" s="90">
        <f>SUM(P5:P10)</f>
        <v/>
      </c>
      <c r="Q11" s="91">
        <f>SUM(Q5:Q10)</f>
        <v/>
      </c>
      <c r="R11" s="87">
        <f>IFERROR((O11+P11)*1000/F11,"")</f>
        <v/>
      </c>
      <c r="S11" s="87">
        <f>MAX(S5:S10)</f>
        <v/>
      </c>
      <c r="T11" s="86" t="n"/>
      <c r="U11" s="87">
        <f>SUM(U5:U10)</f>
        <v/>
      </c>
      <c r="V11" s="86" t="n"/>
    </row>
  </sheetData>
  <mergeCells count="1">
    <mergeCell ref="B2:V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44" customWidth="1" style="62" min="3" max="3"/>
    <col width="9" customWidth="1" style="62" min="4" max="4"/>
    <col width="15" customWidth="1" style="62" min="5" max="5"/>
    <col width="14" customWidth="1" style="62" min="6" max="6"/>
    <col width="15" customWidth="1" style="62" min="7" max="7"/>
    <col width="12" customWidth="1" style="62" min="8" max="8"/>
  </cols>
  <sheetData>
    <row r="2" ht="31.5" customHeight="1" s="63">
      <c r="B2" s="64" t="inlineStr">
        <is>
          <t>Сравнение схем деления: централизованная и каскадные (1:8 + 1:8 и 1:4 + 1:16)</t>
        </is>
      </c>
    </row>
    <row r="3" ht="13.5" customHeight="1" s="63">
      <c r="B3" s="65" t="inlineStr">
        <is>
          <t>Одни и те же спроектированные сети (трассы, точки подключения ДХ, здания ОРШ). Подготовлено 18.09.2026</t>
        </is>
      </c>
    </row>
    <row r="4" ht="27.75" customHeight="1" s="63">
      <c r="B4" s="66" t="inlineStr">
        <is>
          <t>№</t>
        </is>
      </c>
      <c r="C4" s="66" t="inlineStr">
        <is>
          <t>Показатель</t>
        </is>
      </c>
      <c r="D4" s="66" t="inlineStr">
        <is>
          <t>Ед. изм.</t>
        </is>
      </c>
      <c r="E4" s="66" t="inlineStr">
        <is>
          <t>Централизованная (1:64 в ОРШ)</t>
        </is>
      </c>
      <c r="F4" s="66" t="inlineStr">
        <is>
          <t>Каскадная 1:8 + 1:8</t>
        </is>
      </c>
      <c r="G4" s="66" t="inlineStr">
        <is>
          <t>Каскадная 1:4 + 1:16 (принято)</t>
        </is>
      </c>
      <c r="H4" s="66" t="inlineStr">
        <is>
          <t>Δ принятой к 1:8 + 1:8</t>
        </is>
      </c>
    </row>
    <row r="5" ht="21.75" customHeight="1" s="63">
      <c r="B5" s="67" t="n"/>
      <c r="C5" s="67" t="inlineStr">
        <is>
          <t>А. Узлы и оборудование</t>
        </is>
      </c>
      <c r="D5" s="67" t="n"/>
      <c r="E5" s="67" t="n"/>
      <c r="F5" s="67" t="n"/>
      <c r="G5" s="67" t="n"/>
      <c r="H5" s="67" t="n"/>
    </row>
    <row r="6" ht="21.75" customHeight="1" s="63">
      <c r="B6" s="72" t="n">
        <v>1</v>
      </c>
      <c r="C6" s="73" t="inlineStr">
        <is>
          <t>Сплиттер PLC 1×64 (в ОРШ)</t>
        </is>
      </c>
      <c r="D6" s="72" t="inlineStr">
        <is>
          <t>шт</t>
        </is>
      </c>
      <c r="E6" s="74" t="n">
        <v>39</v>
      </c>
      <c r="F6" s="74" t="n"/>
      <c r="G6" s="74" t="n"/>
      <c r="H6" s="92">
        <f>IF(AND(ISNUMBER(F6),ISNUMBER(G6),F6&lt;&gt;0),G6/F6-1,"—")</f>
        <v/>
      </c>
    </row>
    <row r="7" ht="21.75" customHeight="1" s="63">
      <c r="B7" s="68" t="n">
        <v>2</v>
      </c>
      <c r="C7" s="69" t="inlineStr">
        <is>
          <t>Сплиттер PLC 1×8, 1-я ступень (в ОРШ)</t>
        </is>
      </c>
      <c r="D7" s="68" t="inlineStr">
        <is>
          <t>шт</t>
        </is>
      </c>
      <c r="E7" s="70" t="n"/>
      <c r="F7" s="70" t="n">
        <v>66</v>
      </c>
      <c r="G7" s="70" t="n"/>
      <c r="H7" s="93">
        <f>IF(AND(ISNUMBER(F7),ISNUMBER(G7),F7&lt;&gt;0),G7/F7-1,"—")</f>
        <v/>
      </c>
    </row>
    <row r="8" ht="21.75" customHeight="1" s="63">
      <c r="B8" s="72" t="n">
        <v>3</v>
      </c>
      <c r="C8" s="73" t="inlineStr">
        <is>
          <t>Сплиттер PLC 1×8, 2-я ступень (в РОР)</t>
        </is>
      </c>
      <c r="D8" s="72" t="inlineStr">
        <is>
          <t>шт</t>
        </is>
      </c>
      <c r="E8" s="74" t="n"/>
      <c r="F8" s="74" t="n">
        <v>515</v>
      </c>
      <c r="G8" s="74" t="n"/>
      <c r="H8" s="92">
        <f>IF(AND(ISNUMBER(F8),ISNUMBER(G8),F8&lt;&gt;0),G8/F8-1,"—")</f>
        <v/>
      </c>
    </row>
    <row r="9" ht="21.75" customHeight="1" s="63">
      <c r="B9" s="68" t="n">
        <v>4</v>
      </c>
      <c r="C9" s="69" t="inlineStr">
        <is>
          <t>Сплиттер PLC 1×4, 1-я ступень (в ОРШ)</t>
        </is>
      </c>
      <c r="D9" s="68" t="inlineStr">
        <is>
          <t>шт</t>
        </is>
      </c>
      <c r="E9" s="70" t="n"/>
      <c r="F9" s="70" t="n"/>
      <c r="G9" s="70" t="n">
        <v>83</v>
      </c>
      <c r="H9" s="93">
        <f>IF(AND(ISNUMBER(F9),ISNUMBER(G9),F9&lt;&gt;0),G9/F9-1,"—")</f>
        <v/>
      </c>
    </row>
    <row r="10" ht="21.75" customHeight="1" s="63">
      <c r="B10" s="72" t="n">
        <v>5</v>
      </c>
      <c r="C10" s="73" t="inlineStr">
        <is>
          <t>Сплиттер PLC 1×16, 2-я ступень (в РОР)</t>
        </is>
      </c>
      <c r="D10" s="72" t="inlineStr">
        <is>
          <t>шт</t>
        </is>
      </c>
      <c r="E10" s="74" t="n"/>
      <c r="F10" s="74" t="n"/>
      <c r="G10" s="74" t="n">
        <v>323</v>
      </c>
      <c r="H10" s="92">
        <f>IF(AND(ISNUMBER(F10),ISNUMBER(G10),F10&lt;&gt;0),G10/F10-1,"—")</f>
        <v/>
      </c>
    </row>
    <row r="11" ht="21.75" customHeight="1" s="63">
      <c r="B11" s="68" t="n">
        <v>6</v>
      </c>
      <c r="C11" s="69" t="inlineStr">
        <is>
          <t>Сплиттеры всего (обе ступени)</t>
        </is>
      </c>
      <c r="D11" s="68" t="inlineStr">
        <is>
          <t>шт</t>
        </is>
      </c>
      <c r="E11" s="70" t="n">
        <v>39</v>
      </c>
      <c r="F11" s="70" t="n">
        <v>581</v>
      </c>
      <c r="G11" s="70" t="n">
        <v>406</v>
      </c>
      <c r="H11" s="93">
        <f>IF(AND(ISNUMBER(F11),ISNUMBER(G11),F11&lt;&gt;0),G11/F11-1,"—")</f>
        <v/>
      </c>
    </row>
    <row r="12" ht="21.75" customHeight="1" s="63">
      <c r="B12" s="72" t="n">
        <v>7</v>
      </c>
      <c r="C12" s="73" t="inlineStr">
        <is>
          <t>РОР — боксы распределительные</t>
        </is>
      </c>
      <c r="D12" s="72" t="inlineStr">
        <is>
          <t>шт</t>
        </is>
      </c>
      <c r="E12" s="74" t="n"/>
      <c r="F12" s="74" t="n">
        <v>515</v>
      </c>
      <c r="G12" s="74" t="n">
        <v>323</v>
      </c>
      <c r="H12" s="92">
        <f>IF(AND(ISNUMBER(F12),ISNUMBER(G12),F12&lt;&gt;0),G12/F12-1,"—")</f>
        <v/>
      </c>
    </row>
    <row r="13" ht="21.75" customHeight="1" s="63">
      <c r="B13" s="68" t="n">
        <v>8</v>
      </c>
      <c r="C13" s="69" t="inlineStr">
        <is>
          <t>Муфты оптические</t>
        </is>
      </c>
      <c r="D13" s="68" t="inlineStr">
        <is>
          <t>шт</t>
        </is>
      </c>
      <c r="E13" s="70" t="n">
        <v>1140</v>
      </c>
      <c r="F13" s="70" t="n">
        <v>115</v>
      </c>
      <c r="G13" s="70" t="n">
        <v>100</v>
      </c>
      <c r="H13" s="93">
        <f>IF(AND(ISNUMBER(F13),ISNUMBER(G13),F13&lt;&gt;0),G13/F13-1,"—")</f>
        <v/>
      </c>
    </row>
    <row r="14" ht="21.75" customHeight="1" s="63">
      <c r="B14" s="72" t="n">
        <v>9</v>
      </c>
      <c r="C14" s="73" t="inlineStr">
        <is>
          <t>Пассивные узлы всего (муфты + РОР)</t>
        </is>
      </c>
      <c r="D14" s="72" t="inlineStr">
        <is>
          <t>шт</t>
        </is>
      </c>
      <c r="E14" s="74" t="n">
        <v>1140</v>
      </c>
      <c r="F14" s="74" t="n">
        <v>630</v>
      </c>
      <c r="G14" s="74" t="n">
        <v>423</v>
      </c>
      <c r="H14" s="92">
        <f>IF(AND(ISNUMBER(F14),ISNUMBER(G14),F14&lt;&gt;0),G14/F14-1,"—")</f>
        <v/>
      </c>
    </row>
    <row r="15" ht="21.75" customHeight="1" s="63">
      <c r="B15" s="68" t="n">
        <v>10</v>
      </c>
      <c r="C15" s="69" t="inlineStr">
        <is>
          <t>Порты PON OLT — справочно</t>
        </is>
      </c>
      <c r="D15" s="68" t="inlineStr">
        <is>
          <t>шт</t>
        </is>
      </c>
      <c r="E15" s="70" t="n">
        <v>39</v>
      </c>
      <c r="F15" s="70" t="n">
        <v>66</v>
      </c>
      <c r="G15" s="70" t="n">
        <v>83</v>
      </c>
      <c r="H15" s="93">
        <f>IF(AND(ISNUMBER(F15),ISNUMBER(G15),F15&lt;&gt;0),G15/F15-1,"—")</f>
        <v/>
      </c>
    </row>
    <row r="16" ht="21.75" customHeight="1" s="63">
      <c r="B16" s="72" t="n">
        <v>11</v>
      </c>
      <c r="C16" s="73" t="inlineStr">
        <is>
          <t>Порты ОРШ, суммарно</t>
        </is>
      </c>
      <c r="D16" s="72" t="inlineStr">
        <is>
          <t>шт</t>
        </is>
      </c>
      <c r="E16" s="74" t="n">
        <v>3600</v>
      </c>
      <c r="F16" s="74" t="n">
        <v>1008</v>
      </c>
      <c r="G16" s="74" t="n">
        <v>864</v>
      </c>
      <c r="H16" s="92">
        <f>IF(AND(ISNUMBER(F16),ISNUMBER(G16),F16&lt;&gt;0),G16/F16-1,"—")</f>
        <v/>
      </c>
    </row>
    <row r="17" ht="21.75" customHeight="1" s="63">
      <c r="B17" s="68" t="n">
        <v>12</v>
      </c>
      <c r="C17" s="69" t="inlineStr">
        <is>
          <t>Пигтейли SC/UPC для кросса ОРШ</t>
        </is>
      </c>
      <c r="D17" s="68" t="inlineStr">
        <is>
          <t>шт</t>
        </is>
      </c>
      <c r="E17" s="70" t="n">
        <v>2334</v>
      </c>
      <c r="F17" s="70" t="n">
        <v>571</v>
      </c>
      <c r="G17" s="70" t="n">
        <v>358</v>
      </c>
      <c r="H17" s="93">
        <f>IF(AND(ISNUMBER(F17),ISNUMBER(G17),F17&lt;&gt;0),G17/F17-1,"—")</f>
        <v/>
      </c>
    </row>
    <row r="18" ht="21.75" customHeight="1" s="63">
      <c r="B18" s="67" t="n"/>
      <c r="C18" s="67" t="inlineStr">
        <is>
          <t>Б. Кабельная продукция (с запасом на монтаж)</t>
        </is>
      </c>
      <c r="D18" s="67" t="n"/>
      <c r="E18" s="67" t="n"/>
      <c r="F18" s="67" t="n"/>
      <c r="G18" s="67" t="n"/>
      <c r="H18" s="67" t="n"/>
    </row>
    <row r="19" ht="21.75" customHeight="1" s="63">
      <c r="B19" s="72" t="n">
        <v>13</v>
      </c>
      <c r="C19" s="73" t="inlineStr">
        <is>
          <t>Кабель самонесущий, 8 волокон</t>
        </is>
      </c>
      <c r="D19" s="72" t="inlineStr">
        <is>
          <t>км</t>
        </is>
      </c>
      <c r="E19" s="78" t="n">
        <v>35.1</v>
      </c>
      <c r="F19" s="78" t="n">
        <v>46.7</v>
      </c>
      <c r="G19" s="78" t="n">
        <v>49.5</v>
      </c>
      <c r="H19" s="92">
        <f>IF(AND(ISNUMBER(F19),ISNUMBER(G19),F19&lt;&gt;0),G19/F19-1,"—")</f>
        <v/>
      </c>
    </row>
    <row r="20" ht="21.75" customHeight="1" s="63">
      <c r="B20" s="68" t="n">
        <v>14</v>
      </c>
      <c r="C20" s="69" t="inlineStr">
        <is>
          <t>Кабель самонесущий, 12 волокон</t>
        </is>
      </c>
      <c r="D20" s="68" t="inlineStr">
        <is>
          <t>км</t>
        </is>
      </c>
      <c r="E20" s="76" t="n">
        <v>7</v>
      </c>
      <c r="F20" s="76" t="n">
        <v>5.5</v>
      </c>
      <c r="G20" s="76" t="n">
        <v>4.3</v>
      </c>
      <c r="H20" s="93">
        <f>IF(AND(ISNUMBER(F20),ISNUMBER(G20),F20&lt;&gt;0),G20/F20-1,"—")</f>
        <v/>
      </c>
    </row>
    <row r="21" ht="21.75" customHeight="1" s="63">
      <c r="B21" s="72" t="n">
        <v>15</v>
      </c>
      <c r="C21" s="73" t="inlineStr">
        <is>
          <t>Кабель самонесущий, 16 волокон</t>
        </is>
      </c>
      <c r="D21" s="72" t="inlineStr">
        <is>
          <t>км</t>
        </is>
      </c>
      <c r="E21" s="78" t="n">
        <v>4.5</v>
      </c>
      <c r="F21" s="78" t="n">
        <v>4.7</v>
      </c>
      <c r="G21" s="78" t="n">
        <v>3.2</v>
      </c>
      <c r="H21" s="92">
        <f>IF(AND(ISNUMBER(F21),ISNUMBER(G21),F21&lt;&gt;0),G21/F21-1,"—")</f>
        <v/>
      </c>
    </row>
    <row r="22" ht="21.75" customHeight="1" s="63">
      <c r="B22" s="68" t="n">
        <v>16</v>
      </c>
      <c r="C22" s="69" t="inlineStr">
        <is>
          <t>Кабель самонесущий, 24 волокон</t>
        </is>
      </c>
      <c r="D22" s="68" t="inlineStr">
        <is>
          <t>км</t>
        </is>
      </c>
      <c r="E22" s="76" t="n">
        <v>8.5</v>
      </c>
      <c r="F22" s="76" t="n">
        <v>4.8</v>
      </c>
      <c r="G22" s="76" t="n">
        <v>6.5</v>
      </c>
      <c r="H22" s="93">
        <f>IF(AND(ISNUMBER(F22),ISNUMBER(G22),F22&lt;&gt;0),G22/F22-1,"—")</f>
        <v/>
      </c>
    </row>
    <row r="23" ht="21.75" customHeight="1" s="63">
      <c r="B23" s="72" t="n">
        <v>17</v>
      </c>
      <c r="C23" s="73" t="inlineStr">
        <is>
          <t>Кабель самонесущий, 32 волокон</t>
        </is>
      </c>
      <c r="D23" s="72" t="inlineStr">
        <is>
          <t>км</t>
        </is>
      </c>
      <c r="E23" s="78" t="n">
        <v>5.5</v>
      </c>
      <c r="F23" s="78" t="n">
        <v>3.2</v>
      </c>
      <c r="G23" s="78" t="n">
        <v>3.2</v>
      </c>
      <c r="H23" s="92">
        <f>IF(AND(ISNUMBER(F23),ISNUMBER(G23),F23&lt;&gt;0),G23/F23-1,"—")</f>
        <v/>
      </c>
    </row>
    <row r="24" ht="21.75" customHeight="1" s="63">
      <c r="B24" s="68" t="n">
        <v>18</v>
      </c>
      <c r="C24" s="69" t="inlineStr">
        <is>
          <t>Кабель самонесущий, 48 волокон</t>
        </is>
      </c>
      <c r="D24" s="68" t="inlineStr">
        <is>
          <t>км</t>
        </is>
      </c>
      <c r="E24" s="76" t="n">
        <v>7</v>
      </c>
      <c r="F24" s="76" t="n">
        <v>4.7</v>
      </c>
      <c r="G24" s="76" t="n">
        <v>2.9</v>
      </c>
      <c r="H24" s="93">
        <f>IF(AND(ISNUMBER(F24),ISNUMBER(G24),F24&lt;&gt;0),G24/F24-1,"—")</f>
        <v/>
      </c>
    </row>
    <row r="25" ht="21.75" customHeight="1" s="63">
      <c r="B25" s="72" t="n">
        <v>19</v>
      </c>
      <c r="C25" s="73" t="inlineStr">
        <is>
          <t>Кабель самонесущий, 64 волокон</t>
        </is>
      </c>
      <c r="D25" s="72" t="inlineStr">
        <is>
          <t>км</t>
        </is>
      </c>
      <c r="E25" s="78" t="n">
        <v>5.6</v>
      </c>
      <c r="F25" s="78" t="n">
        <v>3.9</v>
      </c>
      <c r="G25" s="78" t="n">
        <v>0.6</v>
      </c>
      <c r="H25" s="92">
        <f>IF(AND(ISNUMBER(F25),ISNUMBER(G25),F25&lt;&gt;0),G25/F25-1,"—")</f>
        <v/>
      </c>
    </row>
    <row r="26" ht="21.75" customHeight="1" s="63">
      <c r="B26" s="68" t="n">
        <v>20</v>
      </c>
      <c r="C26" s="69" t="inlineStr">
        <is>
          <t>Кабель самонесущий, 72 волокон</t>
        </is>
      </c>
      <c r="D26" s="68" t="inlineStr">
        <is>
          <t>км</t>
        </is>
      </c>
      <c r="E26" s="76" t="n">
        <v>2.4</v>
      </c>
      <c r="F26" s="76" t="n">
        <v>1.5</v>
      </c>
      <c r="G26" s="76" t="n"/>
      <c r="H26" s="93">
        <f>IF(AND(ISNUMBER(F26),ISNUMBER(G26),F26&lt;&gt;0),G26/F26-1,"—")</f>
        <v/>
      </c>
    </row>
    <row r="27" ht="21.75" customHeight="1" s="63">
      <c r="B27" s="72" t="n">
        <v>21</v>
      </c>
      <c r="C27" s="73" t="inlineStr">
        <is>
          <t>Кабель самонесущий, 96 волокон</t>
        </is>
      </c>
      <c r="D27" s="72" t="inlineStr">
        <is>
          <t>км</t>
        </is>
      </c>
      <c r="E27" s="78" t="n">
        <v>33.8</v>
      </c>
      <c r="F27" s="78" t="n">
        <v>1.5</v>
      </c>
      <c r="G27" s="78" t="n">
        <v>0.9</v>
      </c>
      <c r="H27" s="92">
        <f>IF(AND(ISNUMBER(F27),ISNUMBER(G27),F27&lt;&gt;0),G27/F27-1,"—")</f>
        <v/>
      </c>
    </row>
    <row r="28" ht="21.75" customHeight="1" s="63">
      <c r="B28" s="68" t="n">
        <v>22</v>
      </c>
      <c r="C28" s="69" t="inlineStr">
        <is>
          <t>Магистральный кабель — всего</t>
        </is>
      </c>
      <c r="D28" s="68" t="inlineStr">
        <is>
          <t>км</t>
        </is>
      </c>
      <c r="E28" s="76" t="n">
        <v>109.4</v>
      </c>
      <c r="F28" s="76" t="n">
        <v>76.5</v>
      </c>
      <c r="G28" s="76" t="n">
        <v>71.09999999999999</v>
      </c>
      <c r="H28" s="93">
        <f>IF(AND(ISNUMBER(F28),ISNUMBER(G28),F28&lt;&gt;0),G28/F28-1,"—")</f>
        <v/>
      </c>
    </row>
    <row r="29" ht="21.75" customHeight="1" s="63">
      <c r="B29" s="72" t="n">
        <v>23</v>
      </c>
      <c r="C29" s="73" t="inlineStr">
        <is>
          <t>Суммарная ёмкость магистрали</t>
        </is>
      </c>
      <c r="D29" s="72" t="inlineStr">
        <is>
          <t>волокно-км</t>
        </is>
      </c>
      <c r="E29" s="74" t="n">
        <v>4375.1</v>
      </c>
      <c r="F29" s="74" t="n">
        <v>1256.1</v>
      </c>
      <c r="G29" s="74" t="n">
        <v>889.2</v>
      </c>
      <c r="H29" s="92">
        <f>IF(AND(ISNUMBER(F29),ISNUMBER(G29),F29&lt;&gt;0),G29/F29-1,"—")</f>
        <v/>
      </c>
    </row>
    <row r="30" ht="21.75" customHeight="1" s="63">
      <c r="B30" s="68" t="n">
        <v>24</v>
      </c>
      <c r="C30" s="69" t="inlineStr">
        <is>
          <t>Дроп-кабель 2-волоконный (с запасом 5 %)</t>
        </is>
      </c>
      <c r="D30" s="68" t="inlineStr">
        <is>
          <t>км</t>
        </is>
      </c>
      <c r="E30" s="76" t="n">
        <v>95.8</v>
      </c>
      <c r="F30" s="76" t="n">
        <v>170.7</v>
      </c>
      <c r="G30" s="76" t="n">
        <v>244</v>
      </c>
      <c r="H30" s="93">
        <f>IF(AND(ISNUMBER(F30),ISNUMBER(G30),F30&lt;&gt;0),G30/F30-1,"—")</f>
        <v/>
      </c>
    </row>
    <row r="31" ht="21.75" customHeight="1" s="63">
      <c r="B31" s="67" t="n"/>
      <c r="C31" s="67" t="inlineStr">
        <is>
          <t>В. Монтаж и расходники</t>
        </is>
      </c>
      <c r="D31" s="67" t="n"/>
      <c r="E31" s="67" t="n"/>
      <c r="F31" s="67" t="n"/>
      <c r="G31" s="67" t="n"/>
      <c r="H31" s="67" t="n"/>
    </row>
    <row r="32" ht="21.75" customHeight="1" s="63">
      <c r="B32" s="72" t="n">
        <v>25</v>
      </c>
      <c r="C32" s="73" t="inlineStr">
        <is>
          <t>Сварные соединения</t>
        </is>
      </c>
      <c r="D32" s="72" t="inlineStr">
        <is>
          <t>шт</t>
        </is>
      </c>
      <c r="E32" s="74" t="n">
        <v>5136</v>
      </c>
      <c r="F32" s="74" t="n">
        <v>2585</v>
      </c>
      <c r="G32" s="74" t="n">
        <v>1552</v>
      </c>
      <c r="H32" s="92">
        <f>IF(AND(ISNUMBER(F32),ISNUMBER(G32),F32&lt;&gt;0),G32/F32-1,"—")</f>
        <v/>
      </c>
    </row>
    <row r="33" ht="21.75" customHeight="1" s="63">
      <c r="B33" s="68" t="n">
        <v>26</v>
      </c>
      <c r="C33" s="69" t="inlineStr">
        <is>
          <t>Коннекторы механические SC/UPC</t>
        </is>
      </c>
      <c r="D33" s="68" t="inlineStr">
        <is>
          <t>шт</t>
        </is>
      </c>
      <c r="E33" s="70" t="n">
        <v>2569</v>
      </c>
      <c r="F33" s="70" t="n">
        <v>5136</v>
      </c>
      <c r="G33" s="70" t="n">
        <v>5136</v>
      </c>
      <c r="H33" s="93">
        <f>IF(AND(ISNUMBER(F33),ISNUMBER(G33),F33&lt;&gt;0),G33/F33-1,"—")</f>
        <v/>
      </c>
    </row>
    <row r="34" ht="21.75" customHeight="1" s="63">
      <c r="B34" s="72" t="n">
        <v>27</v>
      </c>
      <c r="C34" s="73" t="inlineStr">
        <is>
          <t>Гильзы КДЗС, 60 мм</t>
        </is>
      </c>
      <c r="D34" s="72" t="inlineStr">
        <is>
          <t>шт</t>
        </is>
      </c>
      <c r="E34" s="74" t="n">
        <v>5136</v>
      </c>
      <c r="F34" s="74" t="n">
        <v>2585</v>
      </c>
      <c r="G34" s="74" t="n">
        <v>1552</v>
      </c>
      <c r="H34" s="92">
        <f>IF(AND(ISNUMBER(F34),ISNUMBER(G34),F34&lt;&gt;0),G34/F34-1,"—")</f>
        <v/>
      </c>
    </row>
    <row r="35" ht="21.75" customHeight="1" s="63">
      <c r="B35" s="68" t="n">
        <v>28</v>
      </c>
      <c r="C35" s="69" t="inlineStr">
        <is>
          <t>Комплекты подвеса магистрального кабеля</t>
        </is>
      </c>
      <c r="D35" s="68" t="inlineStr">
        <is>
          <t>компл</t>
        </is>
      </c>
      <c r="E35" s="70" t="n">
        <v>2911</v>
      </c>
      <c r="F35" s="70" t="n">
        <v>2034</v>
      </c>
      <c r="G35" s="70" t="n">
        <v>1895</v>
      </c>
      <c r="H35" s="93">
        <f>IF(AND(ISNUMBER(F35),ISNUMBER(G35),F35&lt;&gt;0),G35/F35-1,"—")</f>
        <v/>
      </c>
    </row>
    <row r="36" ht="21.75" customHeight="1" s="63">
      <c r="B36" s="72" t="n">
        <v>29</v>
      </c>
      <c r="C36" s="73" t="inlineStr">
        <is>
          <t>Комплекты подвеса дроп-подводок РОР→ДХ</t>
        </is>
      </c>
      <c r="D36" s="72" t="inlineStr">
        <is>
          <t>компл</t>
        </is>
      </c>
      <c r="E36" s="74" t="n"/>
      <c r="F36" s="74" t="n">
        <v>2146</v>
      </c>
      <c r="G36" s="74" t="n">
        <v>4241</v>
      </c>
      <c r="H36" s="92">
        <f>IF(AND(ISNUMBER(F36),ISNUMBER(G36),F36&lt;&gt;0),G36/F36-1,"—")</f>
        <v/>
      </c>
    </row>
    <row r="37" ht="21.75" customHeight="1" s="63">
      <c r="B37" s="68" t="n">
        <v>30</v>
      </c>
      <c r="C37" s="69" t="inlineStr">
        <is>
          <t>Анкерные зажимы дроп-кабеля</t>
        </is>
      </c>
      <c r="D37" s="68" t="inlineStr">
        <is>
          <t>шт</t>
        </is>
      </c>
      <c r="E37" s="70" t="n">
        <v>4668</v>
      </c>
      <c r="F37" s="70" t="n">
        <v>4668</v>
      </c>
      <c r="G37" s="70" t="n">
        <v>4668</v>
      </c>
      <c r="H37" s="93">
        <f>IF(AND(ISNUMBER(F37),ISNUMBER(G37),F37&lt;&gt;0),G37/F37-1,"—")</f>
        <v/>
      </c>
    </row>
    <row r="38" ht="21.75" customHeight="1" s="63">
      <c r="B38" s="72" t="n">
        <v>31</v>
      </c>
      <c r="C38" s="73" t="inlineStr">
        <is>
          <t>Боксы абонентские оптические</t>
        </is>
      </c>
      <c r="D38" s="72" t="inlineStr">
        <is>
          <t>шт</t>
        </is>
      </c>
      <c r="E38" s="74" t="n">
        <v>2334</v>
      </c>
      <c r="F38" s="74" t="n">
        <v>2334</v>
      </c>
      <c r="G38" s="74" t="n">
        <v>2334</v>
      </c>
      <c r="H38" s="92">
        <f>IF(AND(ISNUMBER(F38),ISNUMBER(G38),F38&lt;&gt;0),G38/F38-1,"—")</f>
        <v/>
      </c>
    </row>
    <row r="40" ht="13.5" customHeight="1" s="63">
      <c r="B40" s="65" t="inlineStr">
        <is>
          <t>Δ — отношение принятого каскада 1:4 + 1:16 к прежнему каскаду 1:8 + 1:8 («—» — позиция отсутствует в одной из схем). Суммарный коэффициент деления одинаков во всех трёх схемах: 1:64.</t>
        </is>
      </c>
    </row>
    <row r="41" ht="13.5" customHeight="1" s="63">
      <c r="B41" s="65" t="inlineStr">
        <is>
          <t>Смена соотношения 1:8 + 1:8 → 1:4 + 1:16: РОР и сплиттеров 2-й ступени меньше на 37 %, сварок меньше на 40 %, волокно-км меньше на 29 %, порты ОРШ легче на 14 %; дроп-кабеля больше на 43 % (подводки РОР→ДХ при радиусе кластера 150 м), портов OLT больше на 26 %.</t>
        </is>
      </c>
    </row>
  </sheetData>
  <mergeCells count="3">
    <mergeCell ref="B2:H2"/>
    <mergeCell ref="B40:H40"/>
    <mergeCell ref="B41:H4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O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36" customWidth="1" style="62" min="3" max="3"/>
    <col width="12" customWidth="1" style="62" min="4" max="4"/>
    <col width="8" customWidth="1" style="62" min="5" max="5"/>
    <col width="9" customWidth="1" style="62" min="6" max="6"/>
    <col width="10" customWidth="1" style="62" min="7" max="7"/>
    <col width="11" customWidth="1" style="62" min="8" max="9"/>
    <col width="10" customWidth="1" style="62" min="10" max="12"/>
    <col width="8" customWidth="1" style="62" min="13" max="15"/>
  </cols>
  <sheetData>
    <row r="2" ht="31.5" customHeight="1" s="63">
      <c r="B2" s="64" t="inlineStr">
        <is>
          <t>Оптимизация по минимальной длине дропов и кабелей — FTTH (GPON), 6 СНП ВКО</t>
        </is>
      </c>
    </row>
    <row r="3" ht="13.5" customHeight="1" s="63">
      <c r="B3" s="65" t="inlineStr">
        <is>
          <t>Критерий: суммарная длина закупаемой кабельной продукции с запасами (дроп +5 %, магистраль +10 %) = дроп-кабель + магистральный кабель по всем ёмкостям; контрольный показатель — волокно-км. Сети и топология — без изменений; соотношение сплиттеров на длины не влияет, влияет только размещение РОР. Подготовлено 18.09.2026</t>
        </is>
      </c>
    </row>
    <row r="4" ht="27.75" customHeight="1" s="63">
      <c r="B4" s="66" t="inlineStr">
        <is>
          <t>№</t>
        </is>
      </c>
      <c r="C4" s="66" t="inlineStr">
        <is>
          <t>Вариант / конфигурация РОР</t>
        </is>
      </c>
      <c r="D4" s="66" t="inlineStr">
        <is>
          <t>Сплиттеры</t>
        </is>
      </c>
      <c r="E4" s="66" t="inlineStr">
        <is>
          <t>РОР, шт</t>
        </is>
      </c>
      <c r="F4" s="66" t="inlineStr">
        <is>
          <t>Заполнение портов, %</t>
        </is>
      </c>
      <c r="G4" s="66" t="inlineStr">
        <is>
          <t>Дроп-кабель, км</t>
        </is>
      </c>
      <c r="H4" s="66" t="inlineStr">
        <is>
          <t>в т.ч. подводки РОР→ДХ, км</t>
        </is>
      </c>
      <c r="I4" s="66" t="inlineStr">
        <is>
          <t>Магистральный кабель, км</t>
        </is>
      </c>
      <c r="J4" s="66" t="inlineStr">
        <is>
          <t>СУММА, км</t>
        </is>
      </c>
      <c r="K4" s="66" t="inlineStr">
        <is>
          <t>Δ к минимуму</t>
        </is>
      </c>
      <c r="L4" s="66" t="inlineStr">
        <is>
          <t>Волокно-км</t>
        </is>
      </c>
      <c r="M4" s="66" t="inlineStr">
        <is>
          <t>Ср. дроп, м</t>
        </is>
      </c>
      <c r="N4" s="66" t="inlineStr">
        <is>
          <t>Макс. дроп, м</t>
        </is>
      </c>
      <c r="O4" s="66" t="inlineStr">
        <is>
          <t>Сварки, шт</t>
        </is>
      </c>
    </row>
    <row r="5" ht="24" customHeight="1" s="63">
      <c r="B5" s="67" t="n"/>
      <c r="C5" s="67" t="inlineStr">
        <is>
          <t>А. Рассчитанные схемы — сравнение по длине кабельной продукции</t>
        </is>
      </c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</row>
    <row r="6" ht="25.5" customHeight="1" s="63">
      <c r="B6" s="94" t="n">
        <v>1</v>
      </c>
      <c r="C6" s="73" t="inlineStr">
        <is>
          <t>Централизованная 1:64 (сплиттеры в ОРШ)</t>
        </is>
      </c>
      <c r="D6" s="94" t="inlineStr">
        <is>
          <t>1:64</t>
        </is>
      </c>
      <c r="E6" s="74" t="n"/>
      <c r="F6" s="84" t="n"/>
      <c r="G6" s="78" t="n">
        <v>95.8</v>
      </c>
      <c r="H6" s="78" t="n">
        <v>0</v>
      </c>
      <c r="I6" s="78" t="n">
        <v>109.4</v>
      </c>
      <c r="J6" s="78">
        <f>G6+I6</f>
        <v/>
      </c>
      <c r="K6" s="92">
        <f>IFERROR(J6/$J$12-1,"—")</f>
        <v/>
      </c>
      <c r="L6" s="78" t="n">
        <v>4375.1</v>
      </c>
      <c r="M6" s="74" t="n">
        <v>38.9</v>
      </c>
      <c r="N6" s="74" t="n">
        <v>132.5</v>
      </c>
      <c r="O6" s="74" t="n">
        <v>5136</v>
      </c>
    </row>
    <row r="7" ht="25.5" customHeight="1" s="63">
      <c r="B7" s="95" t="n">
        <v>2</v>
      </c>
      <c r="C7" s="69" t="inlineStr">
        <is>
          <t>Каскадная 1:8 + 1:8 (радиус РОР 100 м, до 8 ДХ/РОР) — схема B</t>
        </is>
      </c>
      <c r="D7" s="95" t="inlineStr">
        <is>
          <t>1:8+1:8</t>
        </is>
      </c>
      <c r="E7" s="70" t="n">
        <v>515</v>
      </c>
      <c r="F7" s="81" t="n">
        <v>56.7</v>
      </c>
      <c r="G7" s="76" t="n">
        <v>170.7</v>
      </c>
      <c r="H7" s="76" t="n">
        <v>71.42</v>
      </c>
      <c r="I7" s="76" t="n">
        <v>76.5</v>
      </c>
      <c r="J7" s="76">
        <f>G7+I7</f>
        <v/>
      </c>
      <c r="K7" s="93">
        <f>IFERROR(J7/$J$12-1,"—")</f>
        <v/>
      </c>
      <c r="L7" s="76" t="n">
        <v>1256.1</v>
      </c>
      <c r="M7" s="70" t="n">
        <v>69.5</v>
      </c>
      <c r="N7" s="70" t="n">
        <v>201</v>
      </c>
      <c r="O7" s="70" t="n">
        <v>2585</v>
      </c>
    </row>
    <row r="8" ht="25.5" customHeight="1" s="63">
      <c r="B8" s="94" t="n">
        <v>3</v>
      </c>
      <c r="C8" s="73" t="inlineStr">
        <is>
          <t>Каскадная 1:4 + 1:16 (радиус РОР 150 м, до 16 ДХ/РОР) — схема C, принята</t>
        </is>
      </c>
      <c r="D8" s="94" t="inlineStr">
        <is>
          <t>1:4+1:16</t>
        </is>
      </c>
      <c r="E8" s="74" t="n">
        <v>323</v>
      </c>
      <c r="F8" s="84" t="n">
        <v>45.2</v>
      </c>
      <c r="G8" s="78" t="n">
        <v>244</v>
      </c>
      <c r="H8" s="78" t="n">
        <v>141.28</v>
      </c>
      <c r="I8" s="78" t="n">
        <v>71.09999999999999</v>
      </c>
      <c r="J8" s="78">
        <f>G8+I8</f>
        <v/>
      </c>
      <c r="K8" s="92">
        <f>IFERROR(J8/$J$12-1,"—")</f>
        <v/>
      </c>
      <c r="L8" s="78" t="n">
        <v>889.2</v>
      </c>
      <c r="M8" s="74" t="n">
        <v>99.5</v>
      </c>
      <c r="N8" s="74" t="n">
        <v>266</v>
      </c>
      <c r="O8" s="74" t="n">
        <v>1552</v>
      </c>
    </row>
    <row r="9" ht="25.5" customHeight="1" s="63">
      <c r="B9" s="96" t="n">
        <v>4</v>
      </c>
      <c r="C9" s="97" t="inlineStr">
        <is>
          <t>Каскадная 1:8 + 1:8, радиус РОР 50 м — ОПТИМУМ ПО ДЛИНЕ</t>
        </is>
      </c>
      <c r="D9" s="96" t="inlineStr">
        <is>
          <t>1:8+1:8</t>
        </is>
      </c>
      <c r="E9" s="98" t="n">
        <v>873</v>
      </c>
      <c r="F9" s="99" t="n">
        <v>33.4</v>
      </c>
      <c r="G9" s="100" t="n">
        <v>104.6</v>
      </c>
      <c r="H9" s="100" t="n">
        <v>8.57</v>
      </c>
      <c r="I9" s="100" t="n">
        <v>86.59999999999999</v>
      </c>
      <c r="J9" s="100">
        <f>G9+I9</f>
        <v/>
      </c>
      <c r="K9" s="101">
        <f>IFERROR(J9/$J$12-1,"—")</f>
        <v/>
      </c>
      <c r="L9" s="100" t="n">
        <v>1886.3</v>
      </c>
      <c r="M9" s="98" t="n">
        <v>42.6</v>
      </c>
      <c r="N9" s="98" t="n">
        <v>133.4</v>
      </c>
      <c r="O9" s="98" t="n">
        <v>4578</v>
      </c>
    </row>
    <row r="11" ht="24" customHeight="1" s="63">
      <c r="B11" s="67" t="n"/>
      <c r="C11" s="67" t="inlineStr">
        <is>
          <t>Б. Размещение РОР: параметрический анализ (радиус кластера x ёмкость РОР), те же сети</t>
        </is>
      </c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</row>
    <row r="12" ht="25.5" customHeight="1" s="63">
      <c r="B12" s="94" t="n">
        <v>1</v>
      </c>
      <c r="C12" s="73" t="inlineStr">
        <is>
          <t>Радиус 0 м — РОР в каждой муфте (предельный случай)</t>
        </is>
      </c>
      <c r="D12" s="94" t="inlineStr">
        <is>
          <t>не влияет</t>
        </is>
      </c>
      <c r="E12" s="74" t="n">
        <v>1029</v>
      </c>
      <c r="F12" s="84" t="n">
        <v>28.4</v>
      </c>
      <c r="G12" s="78" t="n">
        <v>95.8</v>
      </c>
      <c r="H12" s="78" t="n">
        <v>0</v>
      </c>
      <c r="I12" s="78" t="n">
        <v>89.3</v>
      </c>
      <c r="J12" s="78">
        <f>G12+I12</f>
        <v/>
      </c>
      <c r="K12" s="92">
        <f>IFERROR(J12/$J$12-1,"—")</f>
        <v/>
      </c>
      <c r="L12" s="78" t="n">
        <v>2134.1</v>
      </c>
      <c r="M12" s="74" t="n">
        <v>38.9</v>
      </c>
      <c r="N12" s="74" t="n">
        <v>132.5</v>
      </c>
      <c r="O12" s="74" t="n">
        <v>5451</v>
      </c>
    </row>
    <row r="13" ht="25.5" customHeight="1" s="63">
      <c r="B13" s="96" t="n">
        <v>2</v>
      </c>
      <c r="C13" s="97" t="inlineStr">
        <is>
          <t>Радиус 50 м, до 8 ДХ на РОР</t>
        </is>
      </c>
      <c r="D13" s="96" t="inlineStr">
        <is>
          <t>1:8+1:8</t>
        </is>
      </c>
      <c r="E13" s="98" t="n">
        <v>873</v>
      </c>
      <c r="F13" s="99" t="n">
        <v>33.4</v>
      </c>
      <c r="G13" s="100" t="n">
        <v>104.6</v>
      </c>
      <c r="H13" s="100" t="n">
        <v>8.57</v>
      </c>
      <c r="I13" s="100" t="n">
        <v>86.59999999999999</v>
      </c>
      <c r="J13" s="100">
        <f>G13+I13</f>
        <v/>
      </c>
      <c r="K13" s="101">
        <f>IFERROR(J13/$J$12-1,"—")</f>
        <v/>
      </c>
      <c r="L13" s="100" t="n">
        <v>1886.3</v>
      </c>
      <c r="M13" s="98" t="n">
        <v>42.6</v>
      </c>
      <c r="N13" s="98" t="n">
        <v>133.4</v>
      </c>
      <c r="O13" s="98" t="n">
        <v>4578</v>
      </c>
    </row>
    <row r="14" ht="25.5" customHeight="1" s="63">
      <c r="B14" s="94" t="n">
        <v>3</v>
      </c>
      <c r="C14" s="73" t="inlineStr">
        <is>
          <t>Радиус 50 м, до 16 ДХ на РОР</t>
        </is>
      </c>
      <c r="D14" s="94" t="inlineStr">
        <is>
          <t>1:4+1:16</t>
        </is>
      </c>
      <c r="E14" s="74" t="n">
        <v>864</v>
      </c>
      <c r="F14" s="84" t="n">
        <v>16.9</v>
      </c>
      <c r="G14" s="78" t="n">
        <v>105.9</v>
      </c>
      <c r="H14" s="78" t="n">
        <v>9.630000000000001</v>
      </c>
      <c r="I14" s="78" t="n">
        <v>86.7</v>
      </c>
      <c r="J14" s="78">
        <f>G14+I14</f>
        <v/>
      </c>
      <c r="K14" s="92">
        <f>IFERROR(J14/$J$12-1,"—")</f>
        <v/>
      </c>
      <c r="L14" s="78" t="n">
        <v>1873.3</v>
      </c>
      <c r="M14" s="74" t="n">
        <v>43.1</v>
      </c>
      <c r="N14" s="74" t="n">
        <v>136.4</v>
      </c>
      <c r="O14" s="74" t="n">
        <v>4526</v>
      </c>
    </row>
    <row r="15" ht="25.5" customHeight="1" s="63">
      <c r="B15" s="95" t="n">
        <v>4</v>
      </c>
      <c r="C15" s="69" t="inlineStr">
        <is>
          <t>Радиус 75 м, до 8 ДХ на РОР</t>
        </is>
      </c>
      <c r="D15" s="95" t="inlineStr">
        <is>
          <t>1:8+1:8</t>
        </is>
      </c>
      <c r="E15" s="70" t="n">
        <v>591</v>
      </c>
      <c r="F15" s="81" t="n">
        <v>49.4</v>
      </c>
      <c r="G15" s="76" t="n">
        <v>149.3</v>
      </c>
      <c r="H15" s="76" t="n">
        <v>51.07</v>
      </c>
      <c r="I15" s="76" t="n">
        <v>79.09999999999999</v>
      </c>
      <c r="J15" s="76">
        <f>G15+I15</f>
        <v/>
      </c>
      <c r="K15" s="93">
        <f>IFERROR(J15/$J$12-1,"—")</f>
        <v/>
      </c>
      <c r="L15" s="76" t="n">
        <v>1425.5</v>
      </c>
      <c r="M15" s="70" t="n">
        <v>60.8</v>
      </c>
      <c r="N15" s="70" t="n">
        <v>172.2</v>
      </c>
      <c r="O15" s="70" t="n">
        <v>3019</v>
      </c>
    </row>
    <row r="16" ht="25.5" customHeight="1" s="63">
      <c r="B16" s="94" t="n">
        <v>5</v>
      </c>
      <c r="C16" s="73" t="inlineStr">
        <is>
          <t>Радиус 75 м, до 16 ДХ на РОР</t>
        </is>
      </c>
      <c r="D16" s="94" t="inlineStr">
        <is>
          <t>1:4+1:16</t>
        </is>
      </c>
      <c r="E16" s="74" t="n">
        <v>523</v>
      </c>
      <c r="F16" s="84" t="n">
        <v>27.9</v>
      </c>
      <c r="G16" s="78" t="n">
        <v>166.5</v>
      </c>
      <c r="H16" s="78" t="n">
        <v>67.5</v>
      </c>
      <c r="I16" s="78" t="n">
        <v>78.59999999999999</v>
      </c>
      <c r="J16" s="78">
        <f>G16+I16</f>
        <v/>
      </c>
      <c r="K16" s="92">
        <f>IFERROR(J16/$J$12-1,"—")</f>
        <v/>
      </c>
      <c r="L16" s="78" t="n">
        <v>1280.7</v>
      </c>
      <c r="M16" s="74" t="n">
        <v>67.90000000000001</v>
      </c>
      <c r="N16" s="74" t="n">
        <v>184.6</v>
      </c>
      <c r="O16" s="74" t="n">
        <v>2646</v>
      </c>
    </row>
    <row r="17" ht="25.5" customHeight="1" s="63">
      <c r="B17" s="95" t="n">
        <v>6</v>
      </c>
      <c r="C17" s="69" t="inlineStr">
        <is>
          <t>Радиус 100 м, до 8 ДХ на РОР (= схема B)</t>
        </is>
      </c>
      <c r="D17" s="95" t="inlineStr">
        <is>
          <t>1:8+1:8</t>
        </is>
      </c>
      <c r="E17" s="70" t="n">
        <v>515</v>
      </c>
      <c r="F17" s="81" t="n">
        <v>56.7</v>
      </c>
      <c r="G17" s="76" t="n">
        <v>170.7</v>
      </c>
      <c r="H17" s="76" t="n">
        <v>71.42</v>
      </c>
      <c r="I17" s="76" t="n">
        <v>76.5</v>
      </c>
      <c r="J17" s="76">
        <f>G17+I17</f>
        <v/>
      </c>
      <c r="K17" s="93">
        <f>IFERROR(J17/$J$12-1,"—")</f>
        <v/>
      </c>
      <c r="L17" s="76" t="n">
        <v>1256.1</v>
      </c>
      <c r="M17" s="70" t="n">
        <v>69.5</v>
      </c>
      <c r="N17" s="70" t="n">
        <v>201</v>
      </c>
      <c r="O17" s="70" t="n">
        <v>2585</v>
      </c>
    </row>
    <row r="18" ht="25.5" customHeight="1" s="63">
      <c r="B18" s="94" t="n">
        <v>7</v>
      </c>
      <c r="C18" s="73" t="inlineStr">
        <is>
          <t>Радиус 100 м, до 16 ДХ на РОР</t>
        </is>
      </c>
      <c r="D18" s="94" t="inlineStr">
        <is>
          <t>1:4+1:16</t>
        </is>
      </c>
      <c r="E18" s="74" t="n">
        <v>420</v>
      </c>
      <c r="F18" s="84" t="n">
        <v>34.7</v>
      </c>
      <c r="G18" s="78" t="n">
        <v>192.5</v>
      </c>
      <c r="H18" s="78" t="n">
        <v>92.22</v>
      </c>
      <c r="I18" s="78" t="n">
        <v>76.2</v>
      </c>
      <c r="J18" s="78">
        <f>G18+I18</f>
        <v/>
      </c>
      <c r="K18" s="92">
        <f>IFERROR(J18/$J$12-1,"—")</f>
        <v/>
      </c>
      <c r="L18" s="78" t="n">
        <v>1079</v>
      </c>
      <c r="M18" s="74" t="n">
        <v>78.5</v>
      </c>
      <c r="N18" s="74" t="n">
        <v>197.5</v>
      </c>
      <c r="O18" s="74" t="n">
        <v>2091</v>
      </c>
    </row>
    <row r="19" ht="25.5" customHeight="1" s="63">
      <c r="B19" s="95" t="n">
        <v>8</v>
      </c>
      <c r="C19" s="69" t="inlineStr">
        <is>
          <t>Радиус 125 м, до 8 ДХ на РОР</t>
        </is>
      </c>
      <c r="D19" s="95" t="inlineStr">
        <is>
          <t>1:8+1:8</t>
        </is>
      </c>
      <c r="E19" s="70" t="n">
        <v>474</v>
      </c>
      <c r="F19" s="81" t="n">
        <v>61.6</v>
      </c>
      <c r="G19" s="76" t="n">
        <v>192.2</v>
      </c>
      <c r="H19" s="76" t="n">
        <v>91.81999999999999</v>
      </c>
      <c r="I19" s="76" t="n">
        <v>74.40000000000001</v>
      </c>
      <c r="J19" s="76">
        <f>G19+I19</f>
        <v/>
      </c>
      <c r="K19" s="93">
        <f>IFERROR(J19/$J$12-1,"—")</f>
        <v/>
      </c>
      <c r="L19" s="76" t="n">
        <v>1169.8</v>
      </c>
      <c r="M19" s="70" t="n">
        <v>78.3</v>
      </c>
      <c r="N19" s="70" t="n">
        <v>218</v>
      </c>
      <c r="O19" s="70" t="n">
        <v>2336</v>
      </c>
    </row>
    <row r="20" ht="25.5" customHeight="1" s="63">
      <c r="B20" s="94" t="n">
        <v>9</v>
      </c>
      <c r="C20" s="73" t="inlineStr">
        <is>
          <t>Радиус 125 м, до 16 ДХ на РОР</t>
        </is>
      </c>
      <c r="D20" s="94" t="inlineStr">
        <is>
          <t>1:4+1:16</t>
        </is>
      </c>
      <c r="E20" s="74" t="n">
        <v>356</v>
      </c>
      <c r="F20" s="84" t="n">
        <v>41</v>
      </c>
      <c r="G20" s="78" t="n">
        <v>223</v>
      </c>
      <c r="H20" s="78" t="n">
        <v>121.21</v>
      </c>
      <c r="I20" s="78" t="n">
        <v>72.40000000000001</v>
      </c>
      <c r="J20" s="78">
        <f>G20+I20</f>
        <v/>
      </c>
      <c r="K20" s="92">
        <f>IFERROR(J20/$J$12-1,"—")</f>
        <v/>
      </c>
      <c r="L20" s="78" t="n">
        <v>948.5</v>
      </c>
      <c r="M20" s="74" t="n">
        <v>90.90000000000001</v>
      </c>
      <c r="N20" s="74" t="n">
        <v>222.7</v>
      </c>
      <c r="O20" s="74" t="n">
        <v>1743</v>
      </c>
    </row>
    <row r="21" ht="25.5" customHeight="1" s="63">
      <c r="B21" s="95" t="n">
        <v>10</v>
      </c>
      <c r="C21" s="69" t="inlineStr">
        <is>
          <t>Радиус 150 м, до 8 ДХ на РОР</t>
        </is>
      </c>
      <c r="D21" s="95" t="inlineStr">
        <is>
          <t>1:8+1:8</t>
        </is>
      </c>
      <c r="E21" s="70" t="n">
        <v>450</v>
      </c>
      <c r="F21" s="81" t="n">
        <v>64.8</v>
      </c>
      <c r="G21" s="76" t="n">
        <v>216.3</v>
      </c>
      <c r="H21" s="76" t="n">
        <v>114.81</v>
      </c>
      <c r="I21" s="76" t="n">
        <v>73.3</v>
      </c>
      <c r="J21" s="76">
        <f>G21+I21</f>
        <v/>
      </c>
      <c r="K21" s="93">
        <f>IFERROR(J21/$J$12-1,"—")</f>
        <v/>
      </c>
      <c r="L21" s="76" t="n">
        <v>1103.7</v>
      </c>
      <c r="M21" s="70" t="n">
        <v>88.09999999999999</v>
      </c>
      <c r="N21" s="70" t="n">
        <v>266</v>
      </c>
      <c r="O21" s="70" t="n">
        <v>2200</v>
      </c>
    </row>
    <row r="22" ht="25.5" customHeight="1" s="63">
      <c r="B22" s="94" t="n">
        <v>11</v>
      </c>
      <c r="C22" s="73" t="inlineStr">
        <is>
          <t>Радиус 150 м, до 16 ДХ на РОР (= схема C)</t>
        </is>
      </c>
      <c r="D22" s="94" t="inlineStr">
        <is>
          <t>1:4+1:16</t>
        </is>
      </c>
      <c r="E22" s="74" t="n">
        <v>323</v>
      </c>
      <c r="F22" s="84" t="n">
        <v>45.2</v>
      </c>
      <c r="G22" s="78" t="n">
        <v>244</v>
      </c>
      <c r="H22" s="78" t="n">
        <v>141.28</v>
      </c>
      <c r="I22" s="78" t="n">
        <v>71.09999999999999</v>
      </c>
      <c r="J22" s="78">
        <f>G22+I22</f>
        <v/>
      </c>
      <c r="K22" s="92">
        <f>IFERROR(J22/$J$12-1,"—")</f>
        <v/>
      </c>
      <c r="L22" s="78" t="n">
        <v>889.2</v>
      </c>
      <c r="M22" s="74" t="n">
        <v>99.5</v>
      </c>
      <c r="N22" s="74" t="n">
        <v>266</v>
      </c>
      <c r="O22" s="74" t="n">
        <v>1552</v>
      </c>
    </row>
    <row r="23" ht="25.5" customHeight="1" s="63">
      <c r="B23" s="95" t="n">
        <v>12</v>
      </c>
      <c r="C23" s="69" t="inlineStr">
        <is>
          <t>Радиус 175 м, до 8 ДХ на РОР</t>
        </is>
      </c>
      <c r="D23" s="95" t="inlineStr">
        <is>
          <t>1:8+1:8</t>
        </is>
      </c>
      <c r="E23" s="70" t="n">
        <v>421</v>
      </c>
      <c r="F23" s="81" t="n">
        <v>69.3</v>
      </c>
      <c r="G23" s="76" t="n">
        <v>245</v>
      </c>
      <c r="H23" s="76" t="n">
        <v>142.2</v>
      </c>
      <c r="I23" s="76" t="n">
        <v>71.09999999999999</v>
      </c>
      <c r="J23" s="76">
        <f>G23+I23</f>
        <v/>
      </c>
      <c r="K23" s="93">
        <f>IFERROR(J23/$J$12-1,"—")</f>
        <v/>
      </c>
      <c r="L23" s="76" t="n">
        <v>1047.6</v>
      </c>
      <c r="M23" s="70" t="n">
        <v>99.90000000000001</v>
      </c>
      <c r="N23" s="70" t="n">
        <v>269.4</v>
      </c>
      <c r="O23" s="70" t="n">
        <v>2035</v>
      </c>
    </row>
    <row r="24" ht="25.5" customHeight="1" s="63">
      <c r="B24" s="94" t="n">
        <v>13</v>
      </c>
      <c r="C24" s="73" t="inlineStr">
        <is>
          <t>Радиус 175 м, до 16 ДХ на РОР</t>
        </is>
      </c>
      <c r="D24" s="94" t="inlineStr">
        <is>
          <t>1:4+1:16</t>
        </is>
      </c>
      <c r="E24" s="74" t="n">
        <v>302</v>
      </c>
      <c r="F24" s="84" t="n">
        <v>48.3</v>
      </c>
      <c r="G24" s="78" t="n">
        <v>269.3</v>
      </c>
      <c r="H24" s="78" t="n">
        <v>165.26</v>
      </c>
      <c r="I24" s="78" t="n">
        <v>70.2</v>
      </c>
      <c r="J24" s="78">
        <f>G24+I24</f>
        <v/>
      </c>
      <c r="K24" s="92">
        <f>IFERROR(J24/$J$12-1,"—")</f>
        <v/>
      </c>
      <c r="L24" s="78" t="n">
        <v>872</v>
      </c>
      <c r="M24" s="74" t="n">
        <v>109.7</v>
      </c>
      <c r="N24" s="74" t="n">
        <v>270.3</v>
      </c>
      <c r="O24" s="74" t="n">
        <v>1454</v>
      </c>
    </row>
    <row r="25" ht="25.5" customHeight="1" s="63">
      <c r="B25" s="95" t="n">
        <v>14</v>
      </c>
      <c r="C25" s="69" t="inlineStr">
        <is>
          <t>Радиус 200 м, до 8 ДХ на РОР</t>
        </is>
      </c>
      <c r="D25" s="95" t="inlineStr">
        <is>
          <t>1:8+1:8</t>
        </is>
      </c>
      <c r="E25" s="70" t="n">
        <v>402</v>
      </c>
      <c r="F25" s="81" t="n">
        <v>72.59999999999999</v>
      </c>
      <c r="G25" s="76" t="n">
        <v>272.5</v>
      </c>
      <c r="H25" s="76" t="n">
        <v>168.39</v>
      </c>
      <c r="I25" s="76" t="n">
        <v>69.09999999999999</v>
      </c>
      <c r="J25" s="76">
        <f>G25+I25</f>
        <v/>
      </c>
      <c r="K25" s="93">
        <f>IFERROR(J25/$J$12-1,"—")</f>
        <v/>
      </c>
      <c r="L25" s="76" t="n">
        <v>1006</v>
      </c>
      <c r="M25" s="70" t="n">
        <v>111.1</v>
      </c>
      <c r="N25" s="70" t="n">
        <v>278</v>
      </c>
      <c r="O25" s="70" t="n">
        <v>1927</v>
      </c>
    </row>
    <row r="26" ht="25.5" customHeight="1" s="63">
      <c r="B26" s="94" t="n">
        <v>15</v>
      </c>
      <c r="C26" s="73" t="inlineStr">
        <is>
          <t>Радиус 200 м, до 16 ДХ на РОР</t>
        </is>
      </c>
      <c r="D26" s="94" t="inlineStr">
        <is>
          <t>1:4+1:16</t>
        </is>
      </c>
      <c r="E26" s="74" t="n">
        <v>271</v>
      </c>
      <c r="F26" s="84" t="n">
        <v>53.8</v>
      </c>
      <c r="G26" s="78" t="n">
        <v>297</v>
      </c>
      <c r="H26" s="78" t="n">
        <v>191.69</v>
      </c>
      <c r="I26" s="78" t="n">
        <v>65.7</v>
      </c>
      <c r="J26" s="78">
        <f>G26+I26</f>
        <v/>
      </c>
      <c r="K26" s="92">
        <f>IFERROR(J26/$J$12-1,"—")</f>
        <v/>
      </c>
      <c r="L26" s="78" t="n">
        <v>792.2</v>
      </c>
      <c r="M26" s="74" t="n">
        <v>121.1</v>
      </c>
      <c r="N26" s="74" t="n">
        <v>283</v>
      </c>
      <c r="O26" s="74" t="n">
        <v>1273</v>
      </c>
    </row>
    <row r="27" ht="25.5" customHeight="1" s="63">
      <c r="B27" s="95" t="n">
        <v>16</v>
      </c>
      <c r="C27" s="69" t="inlineStr">
        <is>
          <t>Радиус 250 м, до 8 ДХ на РОР</t>
        </is>
      </c>
      <c r="D27" s="95" t="inlineStr">
        <is>
          <t>1:8+1:8</t>
        </is>
      </c>
      <c r="E27" s="70" t="n">
        <v>383</v>
      </c>
      <c r="F27" s="81" t="n">
        <v>76.2</v>
      </c>
      <c r="G27" s="76" t="n">
        <v>322.6</v>
      </c>
      <c r="H27" s="76" t="n">
        <v>215.95</v>
      </c>
      <c r="I27" s="76" t="n">
        <v>67.09999999999999</v>
      </c>
      <c r="J27" s="76">
        <f>G27+I27</f>
        <v/>
      </c>
      <c r="K27" s="93">
        <f>IFERROR(J27/$J$12-1,"—")</f>
        <v/>
      </c>
      <c r="L27" s="76" t="n">
        <v>952.8</v>
      </c>
      <c r="M27" s="70" t="n">
        <v>131.5</v>
      </c>
      <c r="N27" s="70" t="n">
        <v>327</v>
      </c>
      <c r="O27" s="70" t="n">
        <v>1809</v>
      </c>
    </row>
    <row r="28" ht="25.5" customHeight="1" s="63">
      <c r="B28" s="94" t="n">
        <v>17</v>
      </c>
      <c r="C28" s="73" t="inlineStr">
        <is>
          <t>Радиус 250 м, до 16 ДХ на РОР</t>
        </is>
      </c>
      <c r="D28" s="94" t="inlineStr">
        <is>
          <t>1:4+1:16</t>
        </is>
      </c>
      <c r="E28" s="74" t="n">
        <v>245</v>
      </c>
      <c r="F28" s="84" t="n">
        <v>59.5</v>
      </c>
      <c r="G28" s="78" t="n">
        <v>353</v>
      </c>
      <c r="H28" s="78" t="n">
        <v>244.99</v>
      </c>
      <c r="I28" s="78" t="n">
        <v>63.8</v>
      </c>
      <c r="J28" s="78">
        <f>G28+I28</f>
        <v/>
      </c>
      <c r="K28" s="92">
        <f>IFERROR(J28/$J$12-1,"—")</f>
        <v/>
      </c>
      <c r="L28" s="78" t="n">
        <v>717.3</v>
      </c>
      <c r="M28" s="74" t="n">
        <v>143.9</v>
      </c>
      <c r="N28" s="74" t="n">
        <v>340.8</v>
      </c>
      <c r="O28" s="74" t="n">
        <v>1121</v>
      </c>
    </row>
    <row r="30" ht="13.5" customHeight="1" s="63">
      <c r="B30" s="65" t="inlineStr">
        <is>
          <t>R — радиус кластера РОР по трассе сети (жадная кластеризация, та же модель, что в основных расчётах); «до N ДХ на РОР» — ёмкость кластера = ёмкость сплиттера 2-й ступени. При радиусе 0 м результаты для 1:8+1:8 и 1:4+1:16 совпадают.</t>
        </is>
      </c>
    </row>
    <row r="31" ht="13.5" customHeight="1" s="63">
      <c r="B31" s="65" t="inlineStr">
        <is>
          <t>Δ — отношение суммарной длины к предельному минимуму (R=0, 185,1 км). Выделено зелёным — рекомендуемый по критерию длины вариант (радиус 50 м).</t>
        </is>
      </c>
    </row>
    <row r="33" ht="24" customHeight="1" s="63">
      <c r="B33" s="67" t="n"/>
      <c r="C33" s="67" t="inlineStr">
        <is>
          <t>В. Оптимум по длине — каскад 1:8 + 1:8, радиус РОР 50 м: разбивка по СНП</t>
        </is>
      </c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</row>
    <row r="34" ht="27.75" customHeight="1" s="63">
      <c r="B34" s="66" t="inlineStr">
        <is>
          <t>№</t>
        </is>
      </c>
      <c r="C34" s="66" t="inlineStr">
        <is>
          <t>СНП</t>
        </is>
      </c>
      <c r="D34" s="66" t="inlineStr">
        <is>
          <t>ДХ (проект)</t>
        </is>
      </c>
      <c r="E34" s="66" t="inlineStr">
        <is>
          <t>РОР, шт</t>
        </is>
      </c>
      <c r="F34" s="66" t="inlineStr">
        <is>
          <t>Заполнение портов, %</t>
        </is>
      </c>
      <c r="G34" s="66" t="inlineStr">
        <is>
          <t>Дроп-кабель, км</t>
        </is>
      </c>
      <c r="H34" s="66" t="inlineStr">
        <is>
          <t>в т.ч. подводки, км</t>
        </is>
      </c>
      <c r="I34" s="66" t="inlineStr">
        <is>
          <t>Магистральный кабель, км</t>
        </is>
      </c>
      <c r="J34" s="66" t="inlineStr">
        <is>
          <t>СУММА, км</t>
        </is>
      </c>
      <c r="K34" s="66" t="inlineStr">
        <is>
          <t>Волокно-км</t>
        </is>
      </c>
      <c r="L34" s="66" t="inlineStr">
        <is>
          <t>Ср. дроп, м</t>
        </is>
      </c>
      <c r="M34" s="66" t="inlineStr">
        <is>
          <t>Макс. дроп, м</t>
        </is>
      </c>
    </row>
    <row r="35" ht="21.75" customHeight="1" s="63">
      <c r="B35" s="68" t="n">
        <v>1</v>
      </c>
      <c r="C35" s="102" t="inlineStr">
        <is>
          <t>Верхнеберезовка</t>
        </is>
      </c>
      <c r="D35" s="70" t="n">
        <v>799</v>
      </c>
      <c r="E35" s="70" t="n">
        <v>291</v>
      </c>
      <c r="F35" s="81" t="n">
        <v>34.3</v>
      </c>
      <c r="G35" s="76" t="n">
        <v>37.3</v>
      </c>
      <c r="H35" s="76" t="n">
        <v>2.89</v>
      </c>
      <c r="I35" s="76" t="n">
        <v>31</v>
      </c>
      <c r="J35" s="76">
        <f>G35+I35</f>
        <v/>
      </c>
      <c r="K35" s="76" t="n">
        <v>791.7</v>
      </c>
      <c r="L35" s="70" t="n">
        <v>44.5</v>
      </c>
      <c r="M35" s="70" t="n">
        <v>132.5</v>
      </c>
    </row>
    <row r="36" ht="21.75" customHeight="1" s="63">
      <c r="B36" s="72" t="n">
        <v>2</v>
      </c>
      <c r="C36" s="103" t="inlineStr">
        <is>
          <t>Солнечное</t>
        </is>
      </c>
      <c r="D36" s="74" t="n">
        <v>112</v>
      </c>
      <c r="E36" s="74" t="n">
        <v>54</v>
      </c>
      <c r="F36" s="84" t="n">
        <v>25.9</v>
      </c>
      <c r="G36" s="78" t="n">
        <v>4.1</v>
      </c>
      <c r="H36" s="78" t="n">
        <v>0.2</v>
      </c>
      <c r="I36" s="78" t="n">
        <v>5.2</v>
      </c>
      <c r="J36" s="78">
        <f>G36+I36</f>
        <v/>
      </c>
      <c r="K36" s="78" t="n">
        <v>52.6</v>
      </c>
      <c r="L36" s="74" t="n">
        <v>34.5</v>
      </c>
      <c r="M36" s="74" t="n">
        <v>79.8</v>
      </c>
    </row>
    <row r="37" ht="21.75" customHeight="1" s="63">
      <c r="B37" s="68" t="n">
        <v>3</v>
      </c>
      <c r="C37" s="102" t="inlineStr">
        <is>
          <t>Перевальное</t>
        </is>
      </c>
      <c r="D37" s="70" t="n">
        <v>350</v>
      </c>
      <c r="E37" s="70" t="n">
        <v>131</v>
      </c>
      <c r="F37" s="81" t="n">
        <v>33.4</v>
      </c>
      <c r="G37" s="76" t="n">
        <v>13.5</v>
      </c>
      <c r="H37" s="76" t="n">
        <v>0.83</v>
      </c>
      <c r="I37" s="76" t="n">
        <v>12.2</v>
      </c>
      <c r="J37" s="76">
        <f>G37+I37</f>
        <v/>
      </c>
      <c r="K37" s="76" t="n">
        <v>231.4</v>
      </c>
      <c r="L37" s="70" t="n">
        <v>36.7</v>
      </c>
      <c r="M37" s="70" t="n">
        <v>94.59999999999999</v>
      </c>
    </row>
    <row r="38" ht="21.75" customHeight="1" s="63">
      <c r="B38" s="72" t="n">
        <v>4</v>
      </c>
      <c r="C38" s="103" t="inlineStr">
        <is>
          <t>Винное</t>
        </is>
      </c>
      <c r="D38" s="74" t="n">
        <v>550</v>
      </c>
      <c r="E38" s="74" t="n">
        <v>204</v>
      </c>
      <c r="F38" s="84" t="n">
        <v>33.7</v>
      </c>
      <c r="G38" s="78" t="n">
        <v>28.1</v>
      </c>
      <c r="H38" s="78" t="n">
        <v>1.86</v>
      </c>
      <c r="I38" s="78" t="n">
        <v>20.1</v>
      </c>
      <c r="J38" s="78">
        <f>G38+I38</f>
        <v/>
      </c>
      <c r="K38" s="78" t="n">
        <v>466.3</v>
      </c>
      <c r="L38" s="74" t="n">
        <v>48.7</v>
      </c>
      <c r="M38" s="74" t="n">
        <v>131.6</v>
      </c>
    </row>
    <row r="39" ht="21.75" customHeight="1" s="63">
      <c r="B39" s="68" t="n">
        <v>5</v>
      </c>
      <c r="C39" s="102" t="inlineStr">
        <is>
          <t>Пригородное</t>
        </is>
      </c>
      <c r="D39" s="70" t="n">
        <v>244</v>
      </c>
      <c r="E39" s="70" t="n">
        <v>89</v>
      </c>
      <c r="F39" s="81" t="n">
        <v>34.3</v>
      </c>
      <c r="G39" s="76" t="n">
        <v>10.2</v>
      </c>
      <c r="H39" s="76" t="n">
        <v>0.91</v>
      </c>
      <c r="I39" s="76" t="n">
        <v>8.800000000000001</v>
      </c>
      <c r="J39" s="76">
        <f>G39+I39</f>
        <v/>
      </c>
      <c r="K39" s="76" t="n">
        <v>196.4</v>
      </c>
      <c r="L39" s="70" t="n">
        <v>39.7</v>
      </c>
      <c r="M39" s="70" t="n">
        <v>133.4</v>
      </c>
    </row>
    <row r="40" ht="21.75" customHeight="1" s="63">
      <c r="B40" s="72" t="n">
        <v>6</v>
      </c>
      <c r="C40" s="103" t="inlineStr">
        <is>
          <t>Алтайский</t>
        </is>
      </c>
      <c r="D40" s="74" t="n">
        <v>279</v>
      </c>
      <c r="E40" s="74" t="n">
        <v>104</v>
      </c>
      <c r="F40" s="84" t="n">
        <v>33.5</v>
      </c>
      <c r="G40" s="78" t="n">
        <v>11.4</v>
      </c>
      <c r="H40" s="78" t="n">
        <v>1.88</v>
      </c>
      <c r="I40" s="78" t="n">
        <v>9.300000000000001</v>
      </c>
      <c r="J40" s="78">
        <f>G40+I40</f>
        <v/>
      </c>
      <c r="K40" s="78" t="n">
        <v>147.9</v>
      </c>
      <c r="L40" s="74" t="n">
        <v>38.7</v>
      </c>
      <c r="M40" s="74" t="n">
        <v>104.4</v>
      </c>
    </row>
    <row r="41" ht="25.5" customHeight="1" s="63">
      <c r="B41" s="86" t="n"/>
      <c r="C41" s="86" t="inlineStr">
        <is>
          <t>ИТОГО</t>
        </is>
      </c>
      <c r="D41" s="87">
        <f>SUM(D35:D40)</f>
        <v/>
      </c>
      <c r="E41" s="87">
        <f>SUM(E35:E40)</f>
        <v/>
      </c>
      <c r="F41" s="104">
        <f>IFERROR(D41/(E41*8)*100,"")</f>
        <v/>
      </c>
      <c r="G41" s="91">
        <f>SUM(G35:G40)</f>
        <v/>
      </c>
      <c r="H41" s="91">
        <f>SUM(H35:H40)</f>
        <v/>
      </c>
      <c r="I41" s="91">
        <f>SUM(I35:I40)</f>
        <v/>
      </c>
      <c r="J41" s="91">
        <f>SUM(J35:J40)</f>
        <v/>
      </c>
      <c r="K41" s="91">
        <f>SUM(K35:K40)</f>
        <v/>
      </c>
      <c r="L41" s="87">
        <f>IFERROR(SUMPRODUCT(L35:L40,D35:D40)/D41,"")</f>
        <v/>
      </c>
      <c r="M41" s="87">
        <f>MAX(M35:M40)</f>
        <v/>
      </c>
    </row>
    <row r="43" ht="24" customHeight="1" s="63">
      <c r="B43" s="67" t="n"/>
      <c r="C43" s="67" t="inlineStr">
        <is>
          <t>Г. Вывод</t>
        </is>
      </c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</row>
    <row r="44" ht="63.75" customHeight="1" s="63">
      <c r="B44" s="105" t="inlineStr">
        <is>
          <t>Оптимум по критерию минимальной суммарной длины дропов и кабелей — каскадная схема с плотным размещением РОР: сплиттеры 1:8 + 1:8, радиус кластера 50 м. Суммарная длина 191,2 км (дропы 104,6 + магистраль 86,6) — на 6,8 % меньше централизованной схемы (205,2 км), на 22,7 % меньше рассчитанного каскада 1:8 + 1:8 (247,2 км) и на 39,3 % меньше принятого каскада 1:4 + 1:16 (315,1 км). Дроп-линии почти минимальны (104,6 км против теоретического минимума 95,8 км), магистраль на 20,8 % короче централизованной, волокно-км в 2,3 раза меньше централизованной (1 886 против 4 375).</t>
        </is>
      </c>
    </row>
    <row r="45" ht="36" customHeight="1" s="63">
      <c r="B45" s="105" t="inlineStr">
        <is>
          <t>Предельный случай «РОР в каждой муфте» (радиус 0 м) даёт лишь −6,1 км (185,1 км) при +156 РОР, +248 волокно-км и +873 сварки к варианту радиуса 50 м — не рекомендуется. Средний дроп при радиусе 50 м — 42,6 м (максимум 133 м), заполнение портов сплиттеров 33 %.</t>
        </is>
      </c>
    </row>
    <row r="46" ht="63.75" customHeight="1" s="63">
      <c r="B46" s="105" t="inlineStr">
        <is>
          <t>Контрфактор: у мелкорадиусных схем в 2,1 раза выше материалоёмкость магистрали (волокно-км 1 886 против 889 у схемы C) и в 2,7 раза больше пассивных узлов (873 РОР против 323). По волокно-км и минимуму узлов оптимальна принятая схема 1:4 + 1:16 (радиус 150 м) — при ней суммарная длина на 64,8 % выше (315,1 км). Суммарная длина монотонно растёт с радиусом РОР (185–417 км), волокно-км монотонно падает (2 134–717) — «лучшего по всем критериям сразу» варианта нет.</t>
        </is>
      </c>
    </row>
    <row r="47" ht="49.5" customHeight="1" s="63">
      <c r="B47" s="105" t="inlineStr">
        <is>
          <t>Итог: если решающий критерий — минимальная длина закупаемого кабеля (дропы + магистраль), рекомендуется перейти на каскад 1:8 + 1:8 с радиусом РОР 50 м; если приоритет — стоимость магистрали и число пассивных узлов — сохранить принятую схему 1:4 + 1:16 (радиус 150 м). Компромисс — радиус 75–100 м (сумма 228–247 км, волокно-км 1 256–1 426). Пересчёт сводной таблицы материалов под выбранный вариант — по подтверждению заказчика.</t>
        </is>
      </c>
    </row>
    <row r="49" ht="24" customHeight="1" s="63">
      <c r="B49" s="67" t="n"/>
      <c r="C49" s="67" t="inlineStr">
        <is>
          <t>Д. Трейдофф: суммарная длина кабельной продукции и материалоёмкость магистрали</t>
        </is>
      </c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</row>
    <row r="50" ht="27.75" customHeight="1" s="63">
      <c r="B50" s="66" t="inlineStr">
        <is>
          <t>Радиус, м</t>
        </is>
      </c>
      <c r="C50" s="66" t="inlineStr">
        <is>
          <t>Сумма, км (1:8+1:8)</t>
        </is>
      </c>
      <c r="D50" s="66" t="inlineStr">
        <is>
          <t>Сумма, км (1:4+1:16)</t>
        </is>
      </c>
      <c r="E50" s="66" t="inlineStr">
        <is>
          <t>Волокно-км (1:4+1:16)</t>
        </is>
      </c>
    </row>
    <row r="51" ht="15" customHeight="1" s="63">
      <c r="B51" s="70" t="n">
        <v>0</v>
      </c>
      <c r="C51" s="76" t="n">
        <v>185.1</v>
      </c>
      <c r="D51" s="76" t="n">
        <v>185.1</v>
      </c>
      <c r="E51" s="76" t="n">
        <v>2134.1</v>
      </c>
    </row>
    <row r="52" ht="15" customHeight="1" s="63">
      <c r="B52" s="74" t="n">
        <v>50</v>
      </c>
      <c r="C52" s="78" t="n">
        <v>191.2</v>
      </c>
      <c r="D52" s="78" t="n">
        <v>192.6</v>
      </c>
      <c r="E52" s="78" t="n">
        <v>1873.3</v>
      </c>
    </row>
    <row r="53" ht="15" customHeight="1" s="63">
      <c r="B53" s="70" t="n">
        <v>75</v>
      </c>
      <c r="C53" s="76" t="n">
        <v>228.4</v>
      </c>
      <c r="D53" s="76" t="n">
        <v>245.1</v>
      </c>
      <c r="E53" s="76" t="n">
        <v>1280.7</v>
      </c>
    </row>
    <row r="54" ht="15" customHeight="1" s="63">
      <c r="B54" s="74" t="n">
        <v>100</v>
      </c>
      <c r="C54" s="78" t="n">
        <v>247.2</v>
      </c>
      <c r="D54" s="78" t="n">
        <v>268.7</v>
      </c>
      <c r="E54" s="78" t="n">
        <v>1079</v>
      </c>
    </row>
    <row r="55" ht="15" customHeight="1" s="63">
      <c r="B55" s="70" t="n">
        <v>125</v>
      </c>
      <c r="C55" s="76" t="n">
        <v>266.6</v>
      </c>
      <c r="D55" s="76" t="n">
        <v>295.4</v>
      </c>
      <c r="E55" s="76" t="n">
        <v>948.5</v>
      </c>
    </row>
    <row r="56" ht="15" customHeight="1" s="63">
      <c r="B56" s="74" t="n">
        <v>150</v>
      </c>
      <c r="C56" s="78" t="n">
        <v>289.6</v>
      </c>
      <c r="D56" s="78" t="n">
        <v>315.1</v>
      </c>
      <c r="E56" s="78" t="n">
        <v>889.2</v>
      </c>
    </row>
    <row r="57" ht="15" customHeight="1" s="63">
      <c r="B57" s="70" t="n">
        <v>175</v>
      </c>
      <c r="C57" s="76" t="n">
        <v>316.1</v>
      </c>
      <c r="D57" s="76" t="n">
        <v>339.5</v>
      </c>
      <c r="E57" s="76" t="n">
        <v>872</v>
      </c>
    </row>
    <row r="58" ht="15" customHeight="1" s="63">
      <c r="B58" s="74" t="n">
        <v>200</v>
      </c>
      <c r="C58" s="78" t="n">
        <v>341.6</v>
      </c>
      <c r="D58" s="78" t="n">
        <v>362.7</v>
      </c>
      <c r="E58" s="78" t="n">
        <v>792.2</v>
      </c>
    </row>
    <row r="59" ht="15" customHeight="1" s="63">
      <c r="B59" s="70" t="n">
        <v>250</v>
      </c>
      <c r="C59" s="76" t="n">
        <v>389.7</v>
      </c>
      <c r="D59" s="76" t="n">
        <v>416.8</v>
      </c>
      <c r="E59" s="76" t="n">
        <v>717.3</v>
      </c>
    </row>
  </sheetData>
  <mergeCells count="7">
    <mergeCell ref="B44:O44"/>
    <mergeCell ref="B47:O47"/>
    <mergeCell ref="B2:O2"/>
    <mergeCell ref="B30:O30"/>
    <mergeCell ref="B31:O31"/>
    <mergeCell ref="B45:O45"/>
    <mergeCell ref="B46:O4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4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63" min="1" max="1"/>
    <col width="5" customWidth="1" style="63" min="2" max="2"/>
    <col width="34" customWidth="1" style="63" min="3" max="3"/>
    <col width="11" customWidth="1" style="63" min="4" max="4"/>
    <col width="11" customWidth="1" style="63" min="5" max="5"/>
    <col width="11" customWidth="1" style="63" min="6" max="6"/>
    <col width="11" customWidth="1" style="63" min="7" max="7"/>
    <col width="11" customWidth="1" style="63" min="8" max="8"/>
    <col width="11" customWidth="1" style="63" min="9" max="9"/>
    <col width="11" customWidth="1" style="63" min="10" max="10"/>
    <col width="11" customWidth="1" style="63" min="11" max="11"/>
    <col width="10" customWidth="1" style="63" min="12" max="12"/>
    <col width="10" customWidth="1" style="63" min="13" max="13"/>
    <col width="10" customWidth="1" style="63" min="14" max="14"/>
  </cols>
  <sheetData>
    <row r="1" ht="15" customHeight="1" s="63"/>
    <row r="2" ht="32" customHeight="1" s="63">
      <c r="B2" s="106" t="inlineStr">
        <is>
          <t>Децентрализованная схема D (v3): зонные ОРШ 1:64 в центрах секторов при едином узле OLT — FTTH (GPON), 6 СНП ВКО</t>
        </is>
      </c>
    </row>
    <row r="3" ht="14" customHeight="1" s="63">
      <c r="B3" s="107" t="inlineStr">
        <is>
          <t>Идея пользователя: несколько ОРШ на село вместо одного. Топология сетей, муфты и дропы не меняются; сплиттеры 1:64 переносятся в зонные шкафы. v3: шкафы стоят в центрах секторов (медианы зон), фидеры — кратчайшие пути (Дейкстра) по дорожному графу, ограниченному границей НП. Подготовлено 19.09.2026</t>
        </is>
      </c>
    </row>
    <row r="5" ht="24" customHeight="1" s="63">
      <c r="B5" s="108" t="n"/>
      <c r="C5" s="108" t="inlineStr">
        <is>
          <t>А. Концепция и параметры схемы D (v3)</t>
        </is>
      </c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</row>
    <row r="6" ht="47" customHeight="1" s="63">
      <c r="C6" s="109" t="inlineStr">
        <is>
          <t>Принцип</t>
        </is>
      </c>
      <c r="D6" s="109" t="inlineStr">
        <is>
          <t>Децентрализация централизованной схемы: в селе не один ОРШ, а несколько. Дерево сети режется на зоны; в зоне устанавливается зонный ОРШ со сплиттерами 1:64 своей зоны. Каждый абонент по-прежнему получает выделенное волокно, но уже от ближайшего ОРШ, а не от единственного центра села.</t>
        </is>
      </c>
    </row>
    <row r="7" ht="47" customHeight="1" s="63">
      <c r="C7" s="110" t="inlineStr">
        <is>
          <t>Единый узел OLT</t>
        </is>
      </c>
      <c r="D7" s="110" t="inlineStr">
        <is>
          <t>Одна станция OLT (как и во всех схемах книги); межселённый транспорт до ЦУ сёл — за рамками расчёта. В селе фидер заходит в ЦУ (якорное здание, корневая зона) и расходится по зонным ОРШ по кратчайшим уличным трассам в границе населённого пункта.</t>
        </is>
      </c>
    </row>
    <row r="8" ht="47" customHeight="1" s="63">
      <c r="C8" s="109" t="inlineStr">
        <is>
          <t>Оптимизация v3: ОРШ в центре сектора</t>
        </is>
      </c>
      <c r="D8" s="109" t="inlineStr">
        <is>
          <t>Зонный шкаф устанавливается не в узле вреза, а в центре сектора — медиане дерева зоны (точный минимизатор распределительных волокон g(v) + фидер × D(v)); средний сдвиг от вреза ~300 м, средний маршрут волокна ДХ -&gt; свой ОРШ сокращается до 322 м.</t>
        </is>
      </c>
    </row>
    <row r="9" ht="47" customHeight="1" s="63">
      <c r="C9" s="110" t="inlineStr">
        <is>
          <t>Оптимизация v3: граница НП</t>
        </is>
      </c>
      <c r="D9" s="110" t="inlineStr">
        <is>
          <t>Граница населённого пункта строится по морфологии застройки (диски 175 м вокруг каждого ДХ + замыкание 250 м, внешний контур) и жёстко ограничивает дорожный граф маршрутизации: фидерные трассы физически не могут покинуть НП (0 км вне границы).</t>
        </is>
      </c>
    </row>
    <row r="10" ht="47" customHeight="1" s="63">
      <c r="C10" s="109" t="inlineStr">
        <is>
          <t>Разбиение на зоны</t>
        </is>
      </c>
      <c r="D10" s="109" t="inlineStr">
        <is>
          <t>Жадный алгоритм: врезы выбираются по максимальной маржинальной экономии волокно-км (точный пересчёт раскладки сети на каждый шаг, экономика медиан v3); зона не менее 48 ДХ (заполнение сплиттера 1:64 не менее 75%); врез принимается, если экономит не менее S_MIN волокно-км (порог окупаемости шкафа).</t>
        </is>
      </c>
    </row>
    <row r="11" ht="47" customHeight="1" s="63">
      <c r="C11" s="110" t="inlineStr">
        <is>
          <t>Фидер ЦУ -&gt; зонный ОРШ</t>
        </is>
      </c>
      <c r="D11" s="110" t="inlineStr">
        <is>
          <t>ceil(1,25 x сплиттеры зоны) волокон (обычно 2-3, кабель 8F), прокладывается по КРАТЧАЙШЕМУ пути дорожного графа (Дейкстра) в границе НП; на общих с деревом участках едут в одном кабеле с распределительными: ёмкость = max(8; ceil(1,25 x ДХ потока) + фидерные), вне дерева — отдельный кабель &gt;= 8 волокон; разложение 8-96 как во всей книге.</t>
        </is>
      </c>
    </row>
    <row r="12" ht="34" customHeight="1" s="63">
      <c r="C12" s="109" t="inlineStr">
        <is>
          <t>Кросс зонных ОРШ</t>
        </is>
      </c>
      <c r="D12" s="109" t="inlineStr">
        <is>
          <t>Уличные шкафы меньшей ёмкости: ряды 48/96/144/288/576 портов (ЦУ — обычный ряд 144/288/576/864/1152). Порты = 1,1 x ДХ зоны, округление вверх до ряда.</t>
        </is>
      </c>
    </row>
    <row r="13" ht="34" customHeight="1" s="63">
      <c r="C13" s="110" t="inlineStr">
        <is>
          <t>Сварки/пигтейли</t>
        </is>
      </c>
      <c r="D13" s="110" t="inlineStr">
        <is>
          <t>Норма 2 сварки на ДХ (пигтейль сплиттера + муфта) + 2 сварки на каждое фидерное волокно (пигтейль OLT + вход сплиттера), запас x1,1 — как в централизованной схеме.</t>
        </is>
      </c>
    </row>
    <row r="14" ht="34" customHeight="1" s="63">
      <c r="C14" s="109" t="inlineStr">
        <is>
          <t>Рекомендация</t>
        </is>
      </c>
      <c r="D14" s="109" t="inlineStr">
        <is>
          <t>S_MIN = 15 волокно-км на доп. ОРШ: 36 зон + 6 ЦУ = 42 ОРШ; волокно-км 1497 (-69% к A); суммарная длина 216.8 км — минимум среди всех схем книги.</t>
        </is>
      </c>
    </row>
    <row r="16" ht="24" customHeight="1" s="63">
      <c r="B16" s="108" t="n"/>
      <c r="C16" s="108" t="inlineStr">
        <is>
          <t>Б. Зоны рекомендованной конфигурации (S_MIN = 15) — размещение ОРШ</t>
        </is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</row>
    <row r="17" ht="28" customHeight="1" s="63">
      <c r="C17" s="111" t="inlineStr">
        <is>
          <t>СНП</t>
        </is>
      </c>
      <c r="D17" s="111" t="inlineStr">
        <is>
          <t>Узел</t>
        </is>
      </c>
      <c r="E17" s="111" t="inlineStr">
        <is>
          <t>Тип ОРШ</t>
        </is>
      </c>
      <c r="F17" s="111" t="inlineStr">
        <is>
          <t>ДХ в зоне</t>
        </is>
      </c>
      <c r="G17" s="111" t="inlineStr">
        <is>
          <t>Удалённость от ЦУ, м</t>
        </is>
      </c>
      <c r="H17" s="111" t="inlineStr">
        <is>
          <t>Сплиттеры 1:64, шт</t>
        </is>
      </c>
      <c r="I17" s="111" t="inlineStr">
        <is>
          <t>Фидер, волокон</t>
        </is>
      </c>
      <c r="J17" s="111" t="inlineStr">
        <is>
          <t>Порты кросса</t>
        </is>
      </c>
    </row>
    <row r="18" ht="18" customHeight="1" s="63">
      <c r="C18" s="112" t="inlineStr">
        <is>
          <t>Верхнеберезовка</t>
        </is>
      </c>
      <c r="D18" s="112" t="inlineStr">
        <is>
          <t>ЦУ</t>
        </is>
      </c>
      <c r="E18" s="112" t="inlineStr">
        <is>
          <t>ЦУ (корневая)</t>
        </is>
      </c>
      <c r="F18" s="304" t="n">
        <v>69</v>
      </c>
      <c r="G18" s="304" t="n">
        <v>0</v>
      </c>
      <c r="H18" s="304" t="n">
        <v>2</v>
      </c>
      <c r="I18" s="304" t="n">
        <v>0</v>
      </c>
      <c r="J18" s="304" t="n">
        <v>144</v>
      </c>
    </row>
    <row r="19" ht="18" customHeight="1" s="63">
      <c r="C19" s="114" t="inlineStr"/>
      <c r="D19" s="114" t="inlineStr">
        <is>
          <t>З-1</t>
        </is>
      </c>
      <c r="E19" s="114" t="inlineStr">
        <is>
          <t>зонный шкаф</t>
        </is>
      </c>
      <c r="F19" s="305" t="n">
        <v>46</v>
      </c>
      <c r="G19" s="305" t="n">
        <v>752</v>
      </c>
      <c r="H19" s="305" t="n">
        <v>1</v>
      </c>
      <c r="I19" s="305" t="n">
        <v>2</v>
      </c>
      <c r="J19" s="305" t="n">
        <v>96</v>
      </c>
    </row>
    <row r="20" ht="18" customHeight="1" s="63">
      <c r="C20" s="112" t="inlineStr"/>
      <c r="D20" s="112" t="inlineStr">
        <is>
          <t>З-2</t>
        </is>
      </c>
      <c r="E20" s="112" t="inlineStr">
        <is>
          <t>зонный шкаф</t>
        </is>
      </c>
      <c r="F20" s="304" t="n">
        <v>114</v>
      </c>
      <c r="G20" s="304" t="n">
        <v>546</v>
      </c>
      <c r="H20" s="304" t="n">
        <v>2</v>
      </c>
      <c r="I20" s="304" t="n">
        <v>3</v>
      </c>
      <c r="J20" s="304" t="n">
        <v>144</v>
      </c>
    </row>
    <row r="21" ht="18" customHeight="1" s="63">
      <c r="C21" s="114" t="inlineStr"/>
      <c r="D21" s="114" t="inlineStr">
        <is>
          <t>З-3</t>
        </is>
      </c>
      <c r="E21" s="114" t="inlineStr">
        <is>
          <t>зонный шкаф</t>
        </is>
      </c>
      <c r="F21" s="305" t="n">
        <v>30</v>
      </c>
      <c r="G21" s="305" t="n">
        <v>667</v>
      </c>
      <c r="H21" s="305" t="n">
        <v>1</v>
      </c>
      <c r="I21" s="305" t="n">
        <v>2</v>
      </c>
      <c r="J21" s="305" t="n">
        <v>48</v>
      </c>
    </row>
    <row r="22" ht="18" customHeight="1" s="63">
      <c r="C22" s="112" t="inlineStr"/>
      <c r="D22" s="112" t="inlineStr">
        <is>
          <t>З-4</t>
        </is>
      </c>
      <c r="E22" s="112" t="inlineStr">
        <is>
          <t>зонный шкаф</t>
        </is>
      </c>
      <c r="F22" s="304" t="n">
        <v>132</v>
      </c>
      <c r="G22" s="304" t="n">
        <v>717</v>
      </c>
      <c r="H22" s="304" t="n">
        <v>3</v>
      </c>
      <c r="I22" s="304" t="n">
        <v>4</v>
      </c>
      <c r="J22" s="304" t="n">
        <v>288</v>
      </c>
    </row>
    <row r="23" ht="18" customHeight="1" s="63">
      <c r="C23" s="114" t="inlineStr"/>
      <c r="D23" s="114" t="inlineStr">
        <is>
          <t>З-5</t>
        </is>
      </c>
      <c r="E23" s="114" t="inlineStr">
        <is>
          <t>зонный шкаф</t>
        </is>
      </c>
      <c r="F23" s="305" t="n">
        <v>109</v>
      </c>
      <c r="G23" s="305" t="n">
        <v>856</v>
      </c>
      <c r="H23" s="305" t="n">
        <v>2</v>
      </c>
      <c r="I23" s="305" t="n">
        <v>3</v>
      </c>
      <c r="J23" s="305" t="n">
        <v>144</v>
      </c>
    </row>
    <row r="24" ht="18" customHeight="1" s="63">
      <c r="C24" s="112" t="inlineStr"/>
      <c r="D24" s="112" t="inlineStr">
        <is>
          <t>З-6</t>
        </is>
      </c>
      <c r="E24" s="112" t="inlineStr">
        <is>
          <t>зонный шкаф</t>
        </is>
      </c>
      <c r="F24" s="304" t="n">
        <v>84</v>
      </c>
      <c r="G24" s="304" t="n">
        <v>908</v>
      </c>
      <c r="H24" s="304" t="n">
        <v>2</v>
      </c>
      <c r="I24" s="304" t="n">
        <v>3</v>
      </c>
      <c r="J24" s="304" t="n">
        <v>96</v>
      </c>
    </row>
    <row r="25" ht="18" customHeight="1" s="63">
      <c r="C25" s="114" t="inlineStr"/>
      <c r="D25" s="114" t="inlineStr">
        <is>
          <t>З-7</t>
        </is>
      </c>
      <c r="E25" s="114" t="inlineStr">
        <is>
          <t>зонный шкаф</t>
        </is>
      </c>
      <c r="F25" s="305" t="n">
        <v>50</v>
      </c>
      <c r="G25" s="305" t="n">
        <v>1708</v>
      </c>
      <c r="H25" s="305" t="n">
        <v>1</v>
      </c>
      <c r="I25" s="305" t="n">
        <v>2</v>
      </c>
      <c r="J25" s="305" t="n">
        <v>96</v>
      </c>
    </row>
    <row r="26" ht="18" customHeight="1" s="63">
      <c r="C26" s="112" t="inlineStr"/>
      <c r="D26" s="112" t="inlineStr">
        <is>
          <t>З-8</t>
        </is>
      </c>
      <c r="E26" s="112" t="inlineStr">
        <is>
          <t>зонный шкаф</t>
        </is>
      </c>
      <c r="F26" s="304" t="n">
        <v>49</v>
      </c>
      <c r="G26" s="304" t="n">
        <v>860</v>
      </c>
      <c r="H26" s="304" t="n">
        <v>1</v>
      </c>
      <c r="I26" s="304" t="n">
        <v>2</v>
      </c>
      <c r="J26" s="304" t="n">
        <v>96</v>
      </c>
    </row>
    <row r="27" ht="18" customHeight="1" s="63">
      <c r="C27" s="114" t="inlineStr"/>
      <c r="D27" s="114" t="inlineStr">
        <is>
          <t>З-9</t>
        </is>
      </c>
      <c r="E27" s="114" t="inlineStr">
        <is>
          <t>зонный шкаф</t>
        </is>
      </c>
      <c r="F27" s="305" t="n">
        <v>49</v>
      </c>
      <c r="G27" s="305" t="n">
        <v>1211</v>
      </c>
      <c r="H27" s="305" t="n">
        <v>1</v>
      </c>
      <c r="I27" s="305" t="n">
        <v>2</v>
      </c>
      <c r="J27" s="305" t="n">
        <v>96</v>
      </c>
    </row>
    <row r="28" ht="18" customHeight="1" s="63">
      <c r="C28" s="112" t="inlineStr"/>
      <c r="D28" s="112" t="inlineStr">
        <is>
          <t>З-10</t>
        </is>
      </c>
      <c r="E28" s="112" t="inlineStr">
        <is>
          <t>зонный шкаф</t>
        </is>
      </c>
      <c r="F28" s="304" t="n">
        <v>88</v>
      </c>
      <c r="G28" s="304" t="n">
        <v>1175</v>
      </c>
      <c r="H28" s="304" t="n">
        <v>2</v>
      </c>
      <c r="I28" s="304" t="n">
        <v>3</v>
      </c>
      <c r="J28" s="304" t="n">
        <v>144</v>
      </c>
    </row>
    <row r="29" ht="18" customHeight="1" s="63">
      <c r="C29" s="114" t="inlineStr"/>
      <c r="D29" s="114" t="inlineStr">
        <is>
          <t>З-11</t>
        </is>
      </c>
      <c r="E29" s="114" t="inlineStr">
        <is>
          <t>зонный шкаф</t>
        </is>
      </c>
      <c r="F29" s="305" t="n">
        <v>50</v>
      </c>
      <c r="G29" s="305" t="n">
        <v>1169</v>
      </c>
      <c r="H29" s="305" t="n">
        <v>1</v>
      </c>
      <c r="I29" s="305" t="n">
        <v>2</v>
      </c>
      <c r="J29" s="305" t="n">
        <v>96</v>
      </c>
    </row>
    <row r="30" ht="18" customHeight="1" s="63">
      <c r="C30" s="112" t="inlineStr"/>
      <c r="D30" s="112" t="inlineStr">
        <is>
          <t>З-12</t>
        </is>
      </c>
      <c r="E30" s="112" t="inlineStr">
        <is>
          <t>зонный шкаф</t>
        </is>
      </c>
      <c r="F30" s="304" t="n">
        <v>51</v>
      </c>
      <c r="G30" s="304" t="n">
        <v>1390</v>
      </c>
      <c r="H30" s="304" t="n">
        <v>1</v>
      </c>
      <c r="I30" s="304" t="n">
        <v>2</v>
      </c>
      <c r="J30" s="304" t="n">
        <v>96</v>
      </c>
    </row>
    <row r="31" ht="18" customHeight="1" s="63">
      <c r="C31" s="114" t="inlineStr"/>
      <c r="D31" s="114" t="inlineStr">
        <is>
          <t>З-13</t>
        </is>
      </c>
      <c r="E31" s="114" t="inlineStr">
        <is>
          <t>зонный шкаф</t>
        </is>
      </c>
      <c r="F31" s="305" t="n">
        <v>49</v>
      </c>
      <c r="G31" s="305" t="n">
        <v>879</v>
      </c>
      <c r="H31" s="305" t="n">
        <v>1</v>
      </c>
      <c r="I31" s="305" t="n">
        <v>2</v>
      </c>
      <c r="J31" s="305" t="n">
        <v>96</v>
      </c>
    </row>
    <row r="32" ht="18" customHeight="1" s="63">
      <c r="C32" s="112" t="inlineStr"/>
      <c r="D32" s="112" t="inlineStr">
        <is>
          <t>З-14</t>
        </is>
      </c>
      <c r="E32" s="112" t="inlineStr">
        <is>
          <t>зонный шкаф</t>
        </is>
      </c>
      <c r="F32" s="304" t="n">
        <v>59</v>
      </c>
      <c r="G32" s="304" t="n">
        <v>745</v>
      </c>
      <c r="H32" s="304" t="n">
        <v>1</v>
      </c>
      <c r="I32" s="304" t="n">
        <v>2</v>
      </c>
      <c r="J32" s="304" t="n">
        <v>96</v>
      </c>
    </row>
    <row r="33" ht="18" customHeight="1" s="63">
      <c r="C33" s="114" t="inlineStr">
        <is>
          <t>Солнечное</t>
        </is>
      </c>
      <c r="D33" s="114" t="inlineStr">
        <is>
          <t>ЦУ</t>
        </is>
      </c>
      <c r="E33" s="114" t="inlineStr">
        <is>
          <t>ЦУ (корневая)</t>
        </is>
      </c>
      <c r="F33" s="305" t="n">
        <v>124</v>
      </c>
      <c r="G33" s="305" t="n">
        <v>0</v>
      </c>
      <c r="H33" s="305" t="n">
        <v>2</v>
      </c>
      <c r="I33" s="305" t="n">
        <v>0</v>
      </c>
      <c r="J33" s="305" t="n">
        <v>144</v>
      </c>
    </row>
    <row r="34" ht="18" customHeight="1" s="63">
      <c r="C34" s="112" t="inlineStr">
        <is>
          <t>Перевальное</t>
        </is>
      </c>
      <c r="D34" s="112" t="inlineStr">
        <is>
          <t>ЦУ</t>
        </is>
      </c>
      <c r="E34" s="112" t="inlineStr">
        <is>
          <t>ЦУ (корневая)</t>
        </is>
      </c>
      <c r="F34" s="304" t="n">
        <v>35</v>
      </c>
      <c r="G34" s="304" t="n">
        <v>0</v>
      </c>
      <c r="H34" s="304" t="n">
        <v>1</v>
      </c>
      <c r="I34" s="304" t="n">
        <v>0</v>
      </c>
      <c r="J34" s="304" t="n">
        <v>144</v>
      </c>
    </row>
    <row r="35" ht="18" customHeight="1" s="63">
      <c r="C35" s="114" t="inlineStr"/>
      <c r="D35" s="114" t="inlineStr">
        <is>
          <t>З-1</t>
        </is>
      </c>
      <c r="E35" s="114" t="inlineStr">
        <is>
          <t>зонный шкаф</t>
        </is>
      </c>
      <c r="F35" s="305" t="n">
        <v>56</v>
      </c>
      <c r="G35" s="305" t="n">
        <v>805</v>
      </c>
      <c r="H35" s="305" t="n">
        <v>1</v>
      </c>
      <c r="I35" s="305" t="n">
        <v>2</v>
      </c>
      <c r="J35" s="305" t="n">
        <v>96</v>
      </c>
    </row>
    <row r="36" ht="18" customHeight="1" s="63">
      <c r="C36" s="112" t="inlineStr"/>
      <c r="D36" s="112" t="inlineStr">
        <is>
          <t>З-2</t>
        </is>
      </c>
      <c r="E36" s="112" t="inlineStr">
        <is>
          <t>зонный шкаф</t>
        </is>
      </c>
      <c r="F36" s="304" t="n">
        <v>156</v>
      </c>
      <c r="G36" s="304" t="n">
        <v>295</v>
      </c>
      <c r="H36" s="304" t="n">
        <v>3</v>
      </c>
      <c r="I36" s="304" t="n">
        <v>4</v>
      </c>
      <c r="J36" s="304" t="n">
        <v>288</v>
      </c>
    </row>
    <row r="37" ht="18" customHeight="1" s="63">
      <c r="C37" s="114" t="inlineStr"/>
      <c r="D37" s="114" t="inlineStr">
        <is>
          <t>З-3</t>
        </is>
      </c>
      <c r="E37" s="114" t="inlineStr">
        <is>
          <t>зонный шкаф</t>
        </is>
      </c>
      <c r="F37" s="305" t="n">
        <v>69</v>
      </c>
      <c r="G37" s="305" t="n">
        <v>1394</v>
      </c>
      <c r="H37" s="305" t="n">
        <v>2</v>
      </c>
      <c r="I37" s="305" t="n">
        <v>3</v>
      </c>
      <c r="J37" s="305" t="n">
        <v>96</v>
      </c>
    </row>
    <row r="38" ht="18" customHeight="1" s="63">
      <c r="C38" s="112" t="inlineStr"/>
      <c r="D38" s="112" t="inlineStr">
        <is>
          <t>З-4</t>
        </is>
      </c>
      <c r="E38" s="112" t="inlineStr">
        <is>
          <t>зонный шкаф</t>
        </is>
      </c>
      <c r="F38" s="304" t="n">
        <v>60</v>
      </c>
      <c r="G38" s="304" t="n">
        <v>556</v>
      </c>
      <c r="H38" s="304" t="n">
        <v>1</v>
      </c>
      <c r="I38" s="304" t="n">
        <v>2</v>
      </c>
      <c r="J38" s="304" t="n">
        <v>96</v>
      </c>
    </row>
    <row r="39" ht="18" customHeight="1" s="63">
      <c r="C39" s="114" t="inlineStr">
        <is>
          <t>Винное</t>
        </is>
      </c>
      <c r="D39" s="114" t="inlineStr">
        <is>
          <t>ЦУ</t>
        </is>
      </c>
      <c r="E39" s="114" t="inlineStr">
        <is>
          <t>ЦУ (корневая)</t>
        </is>
      </c>
      <c r="F39" s="305" t="n">
        <v>27</v>
      </c>
      <c r="G39" s="305" t="n">
        <v>0</v>
      </c>
      <c r="H39" s="305" t="n">
        <v>1</v>
      </c>
      <c r="I39" s="305" t="n">
        <v>0</v>
      </c>
      <c r="J39" s="305" t="n">
        <v>144</v>
      </c>
    </row>
    <row r="40" ht="18" customHeight="1" s="63">
      <c r="C40" s="112" t="inlineStr"/>
      <c r="D40" s="112" t="inlineStr">
        <is>
          <t>З-1</t>
        </is>
      </c>
      <c r="E40" s="112" t="inlineStr">
        <is>
          <t>зонный шкаф</t>
        </is>
      </c>
      <c r="F40" s="304" t="n">
        <v>45</v>
      </c>
      <c r="G40" s="304" t="n">
        <v>1298</v>
      </c>
      <c r="H40" s="304" t="n">
        <v>1</v>
      </c>
      <c r="I40" s="304" t="n">
        <v>2</v>
      </c>
      <c r="J40" s="304" t="n">
        <v>96</v>
      </c>
    </row>
    <row r="41" ht="18" customHeight="1" s="63">
      <c r="C41" s="114" t="inlineStr"/>
      <c r="D41" s="114" t="inlineStr">
        <is>
          <t>З-2</t>
        </is>
      </c>
      <c r="E41" s="114" t="inlineStr">
        <is>
          <t>зонный шкаф</t>
        </is>
      </c>
      <c r="F41" s="305" t="n">
        <v>107</v>
      </c>
      <c r="G41" s="305" t="n">
        <v>418</v>
      </c>
      <c r="H41" s="305" t="n">
        <v>2</v>
      </c>
      <c r="I41" s="305" t="n">
        <v>3</v>
      </c>
      <c r="J41" s="305" t="n">
        <v>144</v>
      </c>
    </row>
    <row r="42" ht="18" customHeight="1" s="63">
      <c r="C42" s="112" t="inlineStr"/>
      <c r="D42" s="112" t="inlineStr">
        <is>
          <t>З-3</t>
        </is>
      </c>
      <c r="E42" s="112" t="inlineStr">
        <is>
          <t>зонный шкаф</t>
        </is>
      </c>
      <c r="F42" s="304" t="n">
        <v>53</v>
      </c>
      <c r="G42" s="304" t="n">
        <v>1329</v>
      </c>
      <c r="H42" s="304" t="n">
        <v>1</v>
      </c>
      <c r="I42" s="304" t="n">
        <v>2</v>
      </c>
      <c r="J42" s="304" t="n">
        <v>96</v>
      </c>
    </row>
    <row r="43" ht="18" customHeight="1" s="63">
      <c r="C43" s="114" t="inlineStr"/>
      <c r="D43" s="114" t="inlineStr">
        <is>
          <t>З-4</t>
        </is>
      </c>
      <c r="E43" s="114" t="inlineStr">
        <is>
          <t>зонный шкаф</t>
        </is>
      </c>
      <c r="F43" s="305" t="n">
        <v>53</v>
      </c>
      <c r="G43" s="305" t="n">
        <v>937</v>
      </c>
      <c r="H43" s="305" t="n">
        <v>1</v>
      </c>
      <c r="I43" s="305" t="n">
        <v>2</v>
      </c>
      <c r="J43" s="305" t="n">
        <v>96</v>
      </c>
    </row>
    <row r="44" ht="18" customHeight="1" s="63">
      <c r="C44" s="112" t="inlineStr"/>
      <c r="D44" s="112" t="inlineStr">
        <is>
          <t>З-5</t>
        </is>
      </c>
      <c r="E44" s="112" t="inlineStr">
        <is>
          <t>зонный шкаф</t>
        </is>
      </c>
      <c r="F44" s="304" t="n">
        <v>85</v>
      </c>
      <c r="G44" s="304" t="n">
        <v>368</v>
      </c>
      <c r="H44" s="304" t="n">
        <v>2</v>
      </c>
      <c r="I44" s="304" t="n">
        <v>3</v>
      </c>
      <c r="J44" s="304" t="n">
        <v>96</v>
      </c>
    </row>
    <row r="45" ht="18" customHeight="1" s="63">
      <c r="C45" s="114" t="inlineStr"/>
      <c r="D45" s="114" t="inlineStr">
        <is>
          <t>З-6</t>
        </is>
      </c>
      <c r="E45" s="114" t="inlineStr">
        <is>
          <t>зонный шкаф</t>
        </is>
      </c>
      <c r="F45" s="305" t="n">
        <v>48</v>
      </c>
      <c r="G45" s="305" t="n">
        <v>1096</v>
      </c>
      <c r="H45" s="305" t="n">
        <v>1</v>
      </c>
      <c r="I45" s="305" t="n">
        <v>2</v>
      </c>
      <c r="J45" s="305" t="n">
        <v>96</v>
      </c>
    </row>
    <row r="46" ht="18" customHeight="1" s="63">
      <c r="C46" s="112" t="inlineStr"/>
      <c r="D46" s="112" t="inlineStr">
        <is>
          <t>З-7</t>
        </is>
      </c>
      <c r="E46" s="112" t="inlineStr">
        <is>
          <t>зонный шкаф</t>
        </is>
      </c>
      <c r="F46" s="304" t="n">
        <v>76</v>
      </c>
      <c r="G46" s="304" t="n">
        <v>302</v>
      </c>
      <c r="H46" s="304" t="n">
        <v>2</v>
      </c>
      <c r="I46" s="304" t="n">
        <v>3</v>
      </c>
      <c r="J46" s="304" t="n">
        <v>96</v>
      </c>
    </row>
    <row r="47" ht="18" customHeight="1" s="63">
      <c r="C47" s="114" t="inlineStr"/>
      <c r="D47" s="114" t="inlineStr">
        <is>
          <t>З-8</t>
        </is>
      </c>
      <c r="E47" s="114" t="inlineStr">
        <is>
          <t>зонный шкаф</t>
        </is>
      </c>
      <c r="F47" s="305" t="n">
        <v>78</v>
      </c>
      <c r="G47" s="305" t="n">
        <v>1779</v>
      </c>
      <c r="H47" s="305" t="n">
        <v>2</v>
      </c>
      <c r="I47" s="305" t="n">
        <v>3</v>
      </c>
      <c r="J47" s="305" t="n">
        <v>96</v>
      </c>
    </row>
    <row r="48" ht="18" customHeight="1" s="63">
      <c r="C48" s="112" t="inlineStr"/>
      <c r="D48" s="112" t="inlineStr">
        <is>
          <t>З-9</t>
        </is>
      </c>
      <c r="E48" s="112" t="inlineStr">
        <is>
          <t>зонный шкаф</t>
        </is>
      </c>
      <c r="F48" s="304" t="n">
        <v>50</v>
      </c>
      <c r="G48" s="304" t="n">
        <v>476</v>
      </c>
      <c r="H48" s="304" t="n">
        <v>1</v>
      </c>
      <c r="I48" s="304" t="n">
        <v>2</v>
      </c>
      <c r="J48" s="304" t="n">
        <v>96</v>
      </c>
    </row>
    <row r="49" ht="18" customHeight="1" s="63">
      <c r="C49" s="114" t="inlineStr">
        <is>
          <t>Пригородное</t>
        </is>
      </c>
      <c r="D49" s="114" t="inlineStr">
        <is>
          <t>ЦУ</t>
        </is>
      </c>
      <c r="E49" s="114" t="inlineStr">
        <is>
          <t>ЦУ (корневая)</t>
        </is>
      </c>
      <c r="F49" s="305" t="n">
        <v>70</v>
      </c>
      <c r="G49" s="305" t="n">
        <v>0</v>
      </c>
      <c r="H49" s="305" t="n">
        <v>2</v>
      </c>
      <c r="I49" s="305" t="n">
        <v>0</v>
      </c>
      <c r="J49" s="305" t="n">
        <v>144</v>
      </c>
    </row>
    <row r="50" ht="18" customHeight="1" s="63">
      <c r="C50" s="112" t="inlineStr"/>
      <c r="D50" s="112" t="inlineStr">
        <is>
          <t>З-1</t>
        </is>
      </c>
      <c r="E50" s="112" t="inlineStr">
        <is>
          <t>зонный шкаф</t>
        </is>
      </c>
      <c r="F50" s="304" t="n">
        <v>62</v>
      </c>
      <c r="G50" s="304" t="n">
        <v>666</v>
      </c>
      <c r="H50" s="304" t="n">
        <v>1</v>
      </c>
      <c r="I50" s="304" t="n">
        <v>2</v>
      </c>
      <c r="J50" s="304" t="n">
        <v>96</v>
      </c>
    </row>
    <row r="51" ht="18" customHeight="1" s="63">
      <c r="C51" s="114" t="inlineStr"/>
      <c r="D51" s="114" t="inlineStr">
        <is>
          <t>З-2</t>
        </is>
      </c>
      <c r="E51" s="114" t="inlineStr">
        <is>
          <t>зонный шкаф</t>
        </is>
      </c>
      <c r="F51" s="305" t="n">
        <v>93</v>
      </c>
      <c r="G51" s="305" t="n">
        <v>262</v>
      </c>
      <c r="H51" s="305" t="n">
        <v>2</v>
      </c>
      <c r="I51" s="305" t="n">
        <v>3</v>
      </c>
      <c r="J51" s="305" t="n">
        <v>144</v>
      </c>
    </row>
    <row r="52" ht="18" customHeight="1" s="63">
      <c r="C52" s="112" t="inlineStr"/>
      <c r="D52" s="112" t="inlineStr">
        <is>
          <t>З-3</t>
        </is>
      </c>
      <c r="E52" s="112" t="inlineStr">
        <is>
          <t>зонный шкаф</t>
        </is>
      </c>
      <c r="F52" s="304" t="n">
        <v>61</v>
      </c>
      <c r="G52" s="304" t="n">
        <v>367</v>
      </c>
      <c r="H52" s="304" t="n">
        <v>1</v>
      </c>
      <c r="I52" s="304" t="n">
        <v>2</v>
      </c>
      <c r="J52" s="304" t="n">
        <v>96</v>
      </c>
    </row>
    <row r="53" ht="18" customHeight="1" s="63">
      <c r="C53" s="114" t="inlineStr">
        <is>
          <t>Алтайский</t>
        </is>
      </c>
      <c r="D53" s="114" t="inlineStr">
        <is>
          <t>ЦУ</t>
        </is>
      </c>
      <c r="E53" s="114" t="inlineStr">
        <is>
          <t>ЦУ (корневая)</t>
        </is>
      </c>
      <c r="F53" s="305" t="n">
        <v>122</v>
      </c>
      <c r="G53" s="305" t="n">
        <v>0</v>
      </c>
      <c r="H53" s="305" t="n">
        <v>2</v>
      </c>
      <c r="I53" s="305" t="n">
        <v>0</v>
      </c>
      <c r="J53" s="305" t="n">
        <v>144</v>
      </c>
    </row>
    <row r="54" ht="18" customHeight="1" s="63">
      <c r="C54" s="112" t="inlineStr"/>
      <c r="D54" s="112" t="inlineStr">
        <is>
          <t>З-1</t>
        </is>
      </c>
      <c r="E54" s="112" t="inlineStr">
        <is>
          <t>зонный шкаф</t>
        </is>
      </c>
      <c r="F54" s="304" t="n">
        <v>93</v>
      </c>
      <c r="G54" s="304" t="n">
        <v>274</v>
      </c>
      <c r="H54" s="304" t="n">
        <v>2</v>
      </c>
      <c r="I54" s="304" t="n">
        <v>3</v>
      </c>
      <c r="J54" s="304" t="n">
        <v>144</v>
      </c>
    </row>
    <row r="55" ht="18" customHeight="1" s="63">
      <c r="C55" s="114" t="inlineStr"/>
      <c r="D55" s="114" t="inlineStr">
        <is>
          <t>З-2</t>
        </is>
      </c>
      <c r="E55" s="114" t="inlineStr">
        <is>
          <t>зонный шкаф</t>
        </is>
      </c>
      <c r="F55" s="305" t="n">
        <v>145</v>
      </c>
      <c r="G55" s="305" t="n">
        <v>654</v>
      </c>
      <c r="H55" s="305" t="n">
        <v>3</v>
      </c>
      <c r="I55" s="305" t="n">
        <v>4</v>
      </c>
      <c r="J55" s="305" t="n">
        <v>288</v>
      </c>
    </row>
    <row r="56" ht="18" customHeight="1" s="63">
      <c r="C56" s="112" t="inlineStr"/>
      <c r="D56" s="112" t="inlineStr">
        <is>
          <t>З-3</t>
        </is>
      </c>
      <c r="E56" s="112" t="inlineStr">
        <is>
          <t>зонный шкаф</t>
        </is>
      </c>
      <c r="F56" s="304" t="n">
        <v>91</v>
      </c>
      <c r="G56" s="304" t="n">
        <v>336</v>
      </c>
      <c r="H56" s="304" t="n">
        <v>2</v>
      </c>
      <c r="I56" s="304" t="n">
        <v>3</v>
      </c>
      <c r="J56" s="304" t="n">
        <v>144</v>
      </c>
    </row>
    <row r="57" ht="18" customHeight="1" s="63">
      <c r="C57" s="114" t="inlineStr"/>
      <c r="D57" s="114" t="inlineStr">
        <is>
          <t>З-4</t>
        </is>
      </c>
      <c r="E57" s="114" t="inlineStr">
        <is>
          <t>зонный шкаф</t>
        </is>
      </c>
      <c r="F57" s="305" t="n">
        <v>59</v>
      </c>
      <c r="G57" s="305" t="n">
        <v>433</v>
      </c>
      <c r="H57" s="305" t="n">
        <v>1</v>
      </c>
      <c r="I57" s="305" t="n">
        <v>2</v>
      </c>
      <c r="J57" s="305" t="n">
        <v>96</v>
      </c>
    </row>
    <row r="58" ht="18" customHeight="1" s="63">
      <c r="C58" s="112" t="inlineStr"/>
      <c r="D58" s="112" t="inlineStr">
        <is>
          <t>З-5</t>
        </is>
      </c>
      <c r="E58" s="112" t="inlineStr">
        <is>
          <t>зонный шкаф</t>
        </is>
      </c>
      <c r="F58" s="304" t="n">
        <v>73</v>
      </c>
      <c r="G58" s="304" t="n">
        <v>710</v>
      </c>
      <c r="H58" s="304" t="n">
        <v>2</v>
      </c>
      <c r="I58" s="304" t="n">
        <v>3</v>
      </c>
      <c r="J58" s="304" t="n">
        <v>96</v>
      </c>
    </row>
    <row r="59" ht="18" customHeight="1" s="63">
      <c r="C59" s="114" t="inlineStr"/>
      <c r="D59" s="114" t="inlineStr">
        <is>
          <t>З-6</t>
        </is>
      </c>
      <c r="E59" s="114" t="inlineStr">
        <is>
          <t>зонный шкаф</t>
        </is>
      </c>
      <c r="F59" s="305" t="n">
        <v>56</v>
      </c>
      <c r="G59" s="305" t="n">
        <v>306</v>
      </c>
      <c r="H59" s="305" t="n">
        <v>1</v>
      </c>
      <c r="I59" s="305" t="n">
        <v>2</v>
      </c>
      <c r="J59" s="305" t="n">
        <v>96</v>
      </c>
    </row>
    <row r="60" ht="20" customHeight="1" s="63">
      <c r="C60" s="108" t="inlineStr">
        <is>
          <t>ИТОГО</t>
        </is>
      </c>
      <c r="D60" s="108" t="inlineStr">
        <is>
          <t>42 ОРШ</t>
        </is>
      </c>
      <c r="E60" s="116" t="n"/>
      <c r="F60" s="117">
        <f>SUM(F18:F59)</f>
        <v/>
      </c>
      <c r="G60" s="117" t="n"/>
      <c r="H60" s="117">
        <f>SUM(H18:H59)</f>
        <v/>
      </c>
      <c r="I60" s="117">
        <f>SUM(I18:I59)</f>
        <v/>
      </c>
      <c r="J60" s="117">
        <f>SUM(J18:J59)</f>
        <v/>
      </c>
    </row>
    <row r="61" ht="14" customHeight="1" s="63">
      <c r="B61" s="107" t="inlineStr">
        <is>
          <t>Удалённость от ЦУ — по кратчайшей трассе дорожного графа в границе НП (Дейкстра). Зонный шкаф стоит в центре сектора — медиане дерева зоны (средний сдвиг от узла вреза ~300 м); врез — точка отделения зоны от дерева сети. Дропы абонентов не меняются.</t>
        </is>
      </c>
    </row>
    <row r="63" ht="24" customHeight="1" s="63">
      <c r="B63" s="108" t="n"/>
      <c r="C63" s="108" t="inlineStr">
        <is>
          <t>В. Параметрический sweep порога окупаемости S_MIN</t>
        </is>
      </c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</row>
    <row r="64" ht="28" customHeight="1" s="63">
      <c r="C64" s="111" t="inlineStr">
        <is>
          <t>S_MIN, вол-км</t>
        </is>
      </c>
      <c r="D64" s="111" t="inlineStr">
        <is>
          <t>ОРШ, шт</t>
        </is>
      </c>
      <c r="E64" s="111" t="inlineStr">
        <is>
          <t>Волокно-км</t>
        </is>
      </c>
      <c r="F64" s="111" t="inlineStr">
        <is>
          <t>Δ к A (4375,1)</t>
        </is>
      </c>
      <c r="G64" s="111" t="inlineStr">
        <is>
          <t>Кабель, км</t>
        </is>
      </c>
      <c r="H64" s="111" t="inlineStr">
        <is>
          <t>Дропы, км</t>
        </is>
      </c>
      <c r="I64" s="111" t="inlineStr">
        <is>
          <t>ВСЕГО, км</t>
        </is>
      </c>
      <c r="J64" s="111" t="inlineStr">
        <is>
          <t>Сплиттеры</t>
        </is>
      </c>
      <c r="K64" s="111" t="inlineStr">
        <is>
          <t>Сварки</t>
        </is>
      </c>
      <c r="L64" s="111" t="inlineStr">
        <is>
          <t>Порты ОРШ</t>
        </is>
      </c>
      <c r="M64" s="111" t="inlineStr">
        <is>
          <t>Ср. маршрут волокна, м</t>
        </is>
      </c>
      <c r="N64" s="111" t="inlineStr">
        <is>
          <t>Макс. ёмкость, F</t>
        </is>
      </c>
    </row>
    <row r="65" ht="18" customHeight="1" s="63">
      <c r="C65" s="304" t="n">
        <v>2</v>
      </c>
      <c r="D65" s="304" t="n">
        <v>48</v>
      </c>
      <c r="E65" s="306" t="n">
        <v>1460.2</v>
      </c>
      <c r="F65" s="307">
        <f>E65/4375.1-1</f>
        <v/>
      </c>
      <c r="G65" s="306" t="n">
        <v>80.40000000000001</v>
      </c>
      <c r="H65" s="306" t="n">
        <v>95.8</v>
      </c>
      <c r="I65" s="306">
        <f>G65+H65</f>
        <v/>
      </c>
      <c r="J65" s="304" t="n">
        <v>56</v>
      </c>
      <c r="K65" s="304" t="n">
        <v>5261</v>
      </c>
      <c r="L65" s="304" t="n">
        <v>4368</v>
      </c>
      <c r="M65" s="304" t="n">
        <v>349</v>
      </c>
      <c r="N65" s="304" t="n">
        <v>74</v>
      </c>
    </row>
    <row r="66" ht="18" customHeight="1" s="63">
      <c r="C66" s="305" t="n">
        <v>5</v>
      </c>
      <c r="D66" s="305" t="n">
        <v>43</v>
      </c>
      <c r="E66" s="308" t="n">
        <v>1476.5</v>
      </c>
      <c r="F66" s="309">
        <f>E66/4375.1-1</f>
        <v/>
      </c>
      <c r="G66" s="308" t="n">
        <v>80.40000000000001</v>
      </c>
      <c r="H66" s="308" t="n">
        <v>95.8</v>
      </c>
      <c r="I66" s="308">
        <f>G66+H66</f>
        <v/>
      </c>
      <c r="J66" s="305" t="n">
        <v>54</v>
      </c>
      <c r="K66" s="305" t="n">
        <v>5255</v>
      </c>
      <c r="L66" s="305" t="n">
        <v>4176</v>
      </c>
      <c r="M66" s="305" t="n">
        <v>358</v>
      </c>
      <c r="N66" s="305" t="n">
        <v>108</v>
      </c>
    </row>
    <row r="67" ht="18" customHeight="1" s="63">
      <c r="C67" s="304" t="n">
        <v>8</v>
      </c>
      <c r="D67" s="304" t="n">
        <v>39</v>
      </c>
      <c r="E67" s="306" t="n">
        <v>1500.8</v>
      </c>
      <c r="F67" s="307">
        <f>E67/4375.1-1</f>
        <v/>
      </c>
      <c r="G67" s="306" t="n">
        <v>80.40000000000001</v>
      </c>
      <c r="H67" s="306" t="n">
        <v>95.8</v>
      </c>
      <c r="I67" s="306">
        <f>G67+H67</f>
        <v/>
      </c>
      <c r="J67" s="304" t="n">
        <v>53</v>
      </c>
      <c r="K67" s="304" t="n">
        <v>5253</v>
      </c>
      <c r="L67" s="304" t="n">
        <v>3984</v>
      </c>
      <c r="M67" s="304" t="n">
        <v>368</v>
      </c>
      <c r="N67" s="304" t="n">
        <v>119</v>
      </c>
    </row>
    <row r="68" ht="18" customHeight="1" s="63">
      <c r="C68" s="305" t="n">
        <v>10</v>
      </c>
      <c r="D68" s="305" t="n">
        <v>36</v>
      </c>
      <c r="E68" s="308" t="n">
        <v>1532.5</v>
      </c>
      <c r="F68" s="309">
        <f>E68/4375.1-1</f>
        <v/>
      </c>
      <c r="G68" s="308" t="n">
        <v>80.40000000000001</v>
      </c>
      <c r="H68" s="308" t="n">
        <v>95.8</v>
      </c>
      <c r="I68" s="308">
        <f>G68+H68</f>
        <v/>
      </c>
      <c r="J68" s="305" t="n">
        <v>53</v>
      </c>
      <c r="K68" s="305" t="n">
        <v>5253</v>
      </c>
      <c r="L68" s="305" t="n">
        <v>3888</v>
      </c>
      <c r="M68" s="305" t="n">
        <v>379</v>
      </c>
      <c r="N68" s="305" t="n">
        <v>119</v>
      </c>
    </row>
    <row r="69" ht="18" customHeight="1" s="63">
      <c r="C69" s="310" t="n">
        <v>15</v>
      </c>
      <c r="D69" s="310" t="n">
        <v>34</v>
      </c>
      <c r="E69" s="311" t="n">
        <v>1562.5</v>
      </c>
      <c r="F69" s="312">
        <f>E69/4375.1-1</f>
        <v/>
      </c>
      <c r="G69" s="311" t="n">
        <v>80.5</v>
      </c>
      <c r="H69" s="311" t="n">
        <v>95.8</v>
      </c>
      <c r="I69" s="311">
        <f>G69+H69</f>
        <v/>
      </c>
      <c r="J69" s="310" t="n">
        <v>52</v>
      </c>
      <c r="K69" s="310" t="n">
        <v>5251</v>
      </c>
      <c r="L69" s="310" t="n">
        <v>3696</v>
      </c>
      <c r="M69" s="310" t="n">
        <v>388</v>
      </c>
      <c r="N69" s="310" t="n">
        <v>128</v>
      </c>
    </row>
    <row r="70" ht="18" customHeight="1" s="63">
      <c r="C70" s="305" t="n">
        <v>20</v>
      </c>
      <c r="D70" s="305" t="n">
        <v>32</v>
      </c>
      <c r="E70" s="308" t="n">
        <v>1603.9</v>
      </c>
      <c r="F70" s="309">
        <f>E70/4375.1-1</f>
        <v/>
      </c>
      <c r="G70" s="308" t="n">
        <v>80.90000000000001</v>
      </c>
      <c r="H70" s="308" t="n">
        <v>95.8</v>
      </c>
      <c r="I70" s="308">
        <f>G70+H70</f>
        <v/>
      </c>
      <c r="J70" s="305" t="n">
        <v>51</v>
      </c>
      <c r="K70" s="305" t="n">
        <v>5249</v>
      </c>
      <c r="L70" s="305" t="n">
        <v>3696</v>
      </c>
      <c r="M70" s="305" t="n">
        <v>403</v>
      </c>
      <c r="N70" s="305" t="n">
        <v>148</v>
      </c>
    </row>
    <row r="71" ht="18" customHeight="1" s="63">
      <c r="C71" s="304" t="n">
        <v>25</v>
      </c>
      <c r="D71" s="304" t="n">
        <v>29</v>
      </c>
      <c r="E71" s="306" t="n">
        <v>1674.7</v>
      </c>
      <c r="F71" s="307">
        <f>E71/4375.1-1</f>
        <v/>
      </c>
      <c r="G71" s="306" t="n">
        <v>81.09999999999999</v>
      </c>
      <c r="H71" s="306" t="n">
        <v>95.8</v>
      </c>
      <c r="I71" s="306">
        <f>G71+H71</f>
        <v/>
      </c>
      <c r="J71" s="304" t="n">
        <v>50</v>
      </c>
      <c r="K71" s="304" t="n">
        <v>5247</v>
      </c>
      <c r="L71" s="304" t="n">
        <v>3600</v>
      </c>
      <c r="M71" s="304" t="n">
        <v>427</v>
      </c>
      <c r="N71" s="304" t="n">
        <v>148</v>
      </c>
    </row>
    <row r="72" ht="18" customHeight="1" s="63">
      <c r="C72" s="305" t="n">
        <v>30</v>
      </c>
      <c r="D72" s="305" t="n">
        <v>27</v>
      </c>
      <c r="E72" s="308" t="n">
        <v>1736.2</v>
      </c>
      <c r="F72" s="309">
        <f>E72/4375.1-1</f>
        <v/>
      </c>
      <c r="G72" s="308" t="n">
        <v>81.59999999999999</v>
      </c>
      <c r="H72" s="308" t="n">
        <v>95.8</v>
      </c>
      <c r="I72" s="308">
        <f>G72+H72</f>
        <v/>
      </c>
      <c r="J72" s="305" t="n">
        <v>48</v>
      </c>
      <c r="K72" s="305" t="n">
        <v>5243</v>
      </c>
      <c r="L72" s="305" t="n">
        <v>3504</v>
      </c>
      <c r="M72" s="305" t="n">
        <v>448</v>
      </c>
      <c r="N72" s="305" t="n">
        <v>154</v>
      </c>
    </row>
    <row r="73" ht="18" customHeight="1" s="63">
      <c r="C73" s="304" t="n">
        <v>40</v>
      </c>
      <c r="D73" s="304" t="n">
        <v>24</v>
      </c>
      <c r="E73" s="306" t="n">
        <v>1852</v>
      </c>
      <c r="F73" s="307">
        <f>E73/4375.1-1</f>
        <v/>
      </c>
      <c r="G73" s="306" t="n">
        <v>82.3</v>
      </c>
      <c r="H73" s="306" t="n">
        <v>95.8</v>
      </c>
      <c r="I73" s="306">
        <f>G73+H73</f>
        <v/>
      </c>
      <c r="J73" s="304" t="n">
        <v>47</v>
      </c>
      <c r="K73" s="304" t="n">
        <v>5241</v>
      </c>
      <c r="L73" s="304" t="n">
        <v>3552</v>
      </c>
      <c r="M73" s="304" t="n">
        <v>488</v>
      </c>
      <c r="N73" s="304" t="n">
        <v>164</v>
      </c>
    </row>
    <row r="74" ht="18" customHeight="1" s="63">
      <c r="C74" s="305" t="n">
        <v>50</v>
      </c>
      <c r="D74" s="305" t="n">
        <v>20</v>
      </c>
      <c r="E74" s="308" t="n">
        <v>2041.2</v>
      </c>
      <c r="F74" s="309">
        <f>E74/4375.1-1</f>
        <v/>
      </c>
      <c r="G74" s="308" t="n">
        <v>83.09999999999999</v>
      </c>
      <c r="H74" s="308" t="n">
        <v>95.8</v>
      </c>
      <c r="I74" s="308">
        <f>G74+H74</f>
        <v/>
      </c>
      <c r="J74" s="305" t="n">
        <v>46</v>
      </c>
      <c r="K74" s="305" t="n">
        <v>5238</v>
      </c>
      <c r="L74" s="305" t="n">
        <v>3696</v>
      </c>
      <c r="M74" s="305" t="n">
        <v>554</v>
      </c>
      <c r="N74" s="305" t="n">
        <v>164</v>
      </c>
    </row>
    <row r="75" ht="18" customHeight="1" s="63">
      <c r="C75" s="304" t="n">
        <v>60</v>
      </c>
      <c r="D75" s="304" t="n">
        <v>18</v>
      </c>
      <c r="E75" s="306" t="n">
        <v>2153.9</v>
      </c>
      <c r="F75" s="307">
        <f>E75/4375.1-1</f>
        <v/>
      </c>
      <c r="G75" s="306" t="n">
        <v>84.09999999999999</v>
      </c>
      <c r="H75" s="306" t="n">
        <v>95.8</v>
      </c>
      <c r="I75" s="306">
        <f>G75+H75</f>
        <v/>
      </c>
      <c r="J75" s="304" t="n">
        <v>45</v>
      </c>
      <c r="K75" s="304" t="n">
        <v>5236</v>
      </c>
      <c r="L75" s="304" t="n">
        <v>3744</v>
      </c>
      <c r="M75" s="304" t="n">
        <v>592</v>
      </c>
      <c r="N75" s="304" t="n">
        <v>245</v>
      </c>
    </row>
    <row r="76" ht="18" customHeight="1" s="63">
      <c r="C76" s="305" t="n">
        <v>80</v>
      </c>
      <c r="D76" s="305" t="n">
        <v>17</v>
      </c>
      <c r="E76" s="308" t="n">
        <v>2215.1</v>
      </c>
      <c r="F76" s="309">
        <f>E76/4375.1-1</f>
        <v/>
      </c>
      <c r="G76" s="308" t="n">
        <v>84.7</v>
      </c>
      <c r="H76" s="308" t="n">
        <v>95.8</v>
      </c>
      <c r="I76" s="308">
        <f>G76+H76</f>
        <v/>
      </c>
      <c r="J76" s="305" t="n">
        <v>44</v>
      </c>
      <c r="K76" s="305" t="n">
        <v>5234</v>
      </c>
      <c r="L76" s="305" t="n">
        <v>3600</v>
      </c>
      <c r="M76" s="305" t="n">
        <v>614</v>
      </c>
      <c r="N76" s="305" t="n">
        <v>245</v>
      </c>
    </row>
    <row r="77" ht="14" customHeight="1" s="63">
      <c r="B77" s="107" t="inlineStr">
        <is>
          <t>S_MIN — порог окупаемости: врез зонного ОРШ принимается при экономии не менее S_MIN волокно-км (шкаф с монтажом ~ 1,5 у.е. ~ 12-15 вол-км на тонком кабеле). Жёлтая строка — рекомендованная конфигурация (S_MIN = 15). Sweep рассчитан на стадии v1 (ОРШ во врезах, фидеры по дереву) и обосновывает выбор S_MIN; выпущенная книга v3 (ОРШ в центрах секторов + кратчайшие фидеры в границе НП): 1 386,0 волокно-км при 34 ОРШ.</t>
        </is>
      </c>
    </row>
    <row r="79" ht="28" customHeight="1" s="63">
      <c r="B79" s="111" t="inlineStr">
        <is>
          <t>ОРШ, шт</t>
        </is>
      </c>
      <c r="C79" s="111" t="inlineStr">
        <is>
          <t>Волокно-км</t>
        </is>
      </c>
      <c r="D79" s="111" t="inlineStr">
        <is>
          <t>Индекс стоимости (с шкафами), у.е.</t>
        </is>
      </c>
    </row>
    <row r="80">
      <c r="B80" s="304" t="n">
        <v>17</v>
      </c>
      <c r="C80" s="306" t="n">
        <v>2215.1</v>
      </c>
      <c r="D80" s="306" t="n">
        <v>527.3</v>
      </c>
    </row>
    <row r="81">
      <c r="B81" s="305" t="n">
        <v>18</v>
      </c>
      <c r="C81" s="308" t="n">
        <v>2153.9</v>
      </c>
      <c r="D81" s="308" t="n">
        <v>529.8</v>
      </c>
    </row>
    <row r="82">
      <c r="B82" s="304" t="n">
        <v>20</v>
      </c>
      <c r="C82" s="306" t="n">
        <v>2041.2</v>
      </c>
      <c r="D82" s="306" t="n">
        <v>527.5</v>
      </c>
    </row>
    <row r="83">
      <c r="B83" s="305" t="n">
        <v>24</v>
      </c>
      <c r="C83" s="308" t="n">
        <v>1852</v>
      </c>
      <c r="D83" s="308" t="n">
        <v>524.2</v>
      </c>
    </row>
    <row r="84">
      <c r="B84" s="304" t="n">
        <v>27</v>
      </c>
      <c r="C84" s="306" t="n">
        <v>1736.2</v>
      </c>
      <c r="D84" s="306" t="n">
        <v>524.4</v>
      </c>
    </row>
    <row r="85">
      <c r="B85" s="305" t="n">
        <v>29</v>
      </c>
      <c r="C85" s="308" t="n">
        <v>1674.7</v>
      </c>
      <c r="D85" s="308" t="n">
        <v>527.9</v>
      </c>
    </row>
    <row r="86">
      <c r="B86" s="304" t="n">
        <v>32</v>
      </c>
      <c r="C86" s="306" t="n">
        <v>1603.9</v>
      </c>
      <c r="D86" s="306" t="n">
        <v>531.7</v>
      </c>
    </row>
    <row r="87">
      <c r="B87" s="305" t="n">
        <v>34</v>
      </c>
      <c r="C87" s="308" t="n">
        <v>1562.5</v>
      </c>
      <c r="D87" s="308" t="n">
        <v>533.2</v>
      </c>
    </row>
    <row r="88">
      <c r="B88" s="304" t="n">
        <v>36</v>
      </c>
      <c r="C88" s="306" t="n">
        <v>1532.5</v>
      </c>
      <c r="D88" s="306" t="n">
        <v>539.3</v>
      </c>
    </row>
    <row r="89">
      <c r="B89" s="305" t="n">
        <v>39</v>
      </c>
      <c r="C89" s="308" t="n">
        <v>1500.8</v>
      </c>
      <c r="D89" s="308" t="n">
        <v>544.4</v>
      </c>
    </row>
    <row r="90">
      <c r="B90" s="304" t="n">
        <v>43</v>
      </c>
      <c r="C90" s="306" t="n">
        <v>1476.5</v>
      </c>
      <c r="D90" s="306" t="n">
        <v>553</v>
      </c>
    </row>
    <row r="91">
      <c r="B91" s="305" t="n">
        <v>48</v>
      </c>
      <c r="C91" s="308" t="n">
        <v>1460.2</v>
      </c>
      <c r="D91" s="308" t="n">
        <v>563.9</v>
      </c>
    </row>
    <row r="93" ht="24" customHeight="1" s="63">
      <c r="B93" s="108" t="n"/>
      <c r="C93" s="108" t="inlineStr">
        <is>
          <t>Г. Сравнение четырёх схем — A / B / C / D</t>
        </is>
      </c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</row>
    <row r="94" ht="28" customHeight="1" s="63">
      <c r="C94" s="111" t="inlineStr">
        <is>
          <t>Показатель</t>
        </is>
      </c>
      <c r="D94" s="111" t="inlineStr">
        <is>
          <t>A: централизо-ванная 1:64</t>
        </is>
      </c>
      <c r="E94" s="111" t="inlineStr">
        <is>
          <t>B: каскад 1:8+1:8</t>
        </is>
      </c>
      <c r="F94" s="111" t="inlineStr">
        <is>
          <t>C: каскад 1:4+1:16</t>
        </is>
      </c>
      <c r="G94" s="111" t="inlineStr">
        <is>
          <t>D: зонные ОРШ 1:64</t>
        </is>
      </c>
      <c r="H94" s="111" t="inlineStr">
        <is>
          <t>Лучшая</t>
        </is>
      </c>
    </row>
    <row r="95" ht="18" customHeight="1" s="63">
      <c r="C95" s="112" t="inlineStr">
        <is>
          <t>Обслужено ДХ, шт</t>
        </is>
      </c>
      <c r="D95" s="304" t="n">
        <v>3076</v>
      </c>
      <c r="E95" s="304" t="n">
        <v>3076</v>
      </c>
      <c r="F95" s="304" t="n">
        <v>3076</v>
      </c>
      <c r="G95" s="304" t="n">
        <v>3076</v>
      </c>
      <c r="H95" s="313" t="n"/>
    </row>
    <row r="96" ht="18" customHeight="1" s="63">
      <c r="C96" s="114" t="inlineStr">
        <is>
          <t>Волокно-км</t>
        </is>
      </c>
      <c r="D96" s="308" t="n">
        <v>4375.1</v>
      </c>
      <c r="E96" s="308" t="n">
        <v>1256.1</v>
      </c>
      <c r="F96" s="308" t="n">
        <v>889.2</v>
      </c>
      <c r="G96" s="308" t="n">
        <v>1497.1</v>
      </c>
      <c r="H96" s="314">
        <f>CHOOSE(MATCH(MIN(D96:G96),D96:G96,0),"A","B","C","D")</f>
        <v/>
      </c>
    </row>
    <row r="97" ht="18" customHeight="1" s="63">
      <c r="C97" s="112" t="inlineStr">
        <is>
          <t>Волокно-км на ДХ, км</t>
        </is>
      </c>
      <c r="D97" s="315">
        <f>D96/3076</f>
        <v/>
      </c>
      <c r="E97" s="315">
        <f>E96/3076</f>
        <v/>
      </c>
      <c r="F97" s="315">
        <f>F96/3076</f>
        <v/>
      </c>
      <c r="G97" s="315">
        <f>G96/3076</f>
        <v/>
      </c>
      <c r="H97" s="313">
        <f>CHOOSE(MATCH(MIN(D97:G97),D97:G97,0),"A","B","C","D")</f>
        <v/>
      </c>
    </row>
    <row r="98" ht="18" customHeight="1" s="63">
      <c r="C98" s="114" t="inlineStr">
        <is>
          <t>Магистральный кабель, км</t>
        </is>
      </c>
      <c r="D98" s="308" t="n">
        <v>109.4</v>
      </c>
      <c r="E98" s="308" t="n">
        <v>76.5</v>
      </c>
      <c r="F98" s="308" t="n">
        <v>71.09999999999999</v>
      </c>
      <c r="G98" s="308" t="n">
        <v>93.09999999999999</v>
      </c>
      <c r="H98" s="314">
        <f>CHOOSE(MATCH(MIN(D98:G98),D98:G98,0),"A","B","C","D")</f>
        <v/>
      </c>
    </row>
    <row r="99" ht="18" customHeight="1" s="63">
      <c r="C99" s="112" t="inlineStr">
        <is>
          <t>в т.ч. 8-волоконный, км</t>
        </is>
      </c>
      <c r="D99" s="306" t="n">
        <v>35.1</v>
      </c>
      <c r="E99" s="306" t="n">
        <v>46.7</v>
      </c>
      <c r="F99" s="306" t="n">
        <v>49.5</v>
      </c>
      <c r="G99" s="306" t="n">
        <v>42.7</v>
      </c>
      <c r="H99" s="313" t="n"/>
    </row>
    <row r="100" ht="18" customHeight="1" s="63">
      <c r="C100" s="114" t="inlineStr">
        <is>
          <t>в т.ч. 96-волоконный, км</t>
        </is>
      </c>
      <c r="D100" s="308" t="n">
        <v>33.8</v>
      </c>
      <c r="E100" s="308" t="n">
        <v>1.5</v>
      </c>
      <c r="F100" s="308" t="n">
        <v>0.9</v>
      </c>
      <c r="G100" s="308" t="n">
        <v>0.7</v>
      </c>
      <c r="H100" s="314" t="n"/>
    </row>
    <row r="101" ht="18" customHeight="1" s="63">
      <c r="C101" s="112" t="inlineStr">
        <is>
          <t>Дроп-кабель, км</t>
        </is>
      </c>
      <c r="D101" s="306" t="n">
        <v>95.8</v>
      </c>
      <c r="E101" s="306" t="n">
        <v>170.7</v>
      </c>
      <c r="F101" s="306" t="n">
        <v>244</v>
      </c>
      <c r="G101" s="306" t="n">
        <v>126.3</v>
      </c>
      <c r="H101" s="313">
        <f>CHOOSE(MATCH(MIN(D101:G101),D101:G101,0),"A","B","C","D")</f>
        <v/>
      </c>
    </row>
    <row r="102" ht="18" customHeight="1" s="63">
      <c r="C102" s="114" t="inlineStr">
        <is>
          <t>ВСЕГО кабель + дропы, км</t>
        </is>
      </c>
      <c r="D102" s="308">
        <f>D98+D101</f>
        <v/>
      </c>
      <c r="E102" s="308">
        <f>E98+E101</f>
        <v/>
      </c>
      <c r="F102" s="308">
        <f>F98+F101</f>
        <v/>
      </c>
      <c r="G102" s="308">
        <f>G98+G101</f>
        <v/>
      </c>
      <c r="H102" s="314">
        <f>CHOOSE(MATCH(MIN(D102:G102),D102:G102,0),"A","B","C","D")</f>
        <v/>
      </c>
    </row>
    <row r="103" ht="18" customHeight="1" s="63">
      <c r="C103" s="112" t="inlineStr">
        <is>
          <t>Средний дроп, м</t>
        </is>
      </c>
      <c r="D103" s="304" t="n">
        <v>29.5</v>
      </c>
      <c r="E103" s="304" t="n">
        <v>52.8</v>
      </c>
      <c r="F103" s="304" t="n">
        <v>75.5</v>
      </c>
      <c r="G103" s="304" t="n">
        <v>39</v>
      </c>
      <c r="H103" s="313">
        <f>CHOOSE(MATCH(MIN(D103:G103),D103:G103,0),"A","B","C","D")</f>
        <v/>
      </c>
    </row>
    <row r="104" ht="18" customHeight="1" s="63">
      <c r="C104" s="114" t="inlineStr">
        <is>
          <t>Максимальный дроп, м</t>
        </is>
      </c>
      <c r="D104" s="305" t="n">
        <v>132.5</v>
      </c>
      <c r="E104" s="305" t="n">
        <v>201</v>
      </c>
      <c r="F104" s="305" t="n">
        <v>266</v>
      </c>
      <c r="G104" s="305" t="n">
        <v>132.5</v>
      </c>
      <c r="H104" s="314">
        <f>CHOOSE(MATCH(MIN(D104:G104),D104:G104,0),"A","B","C","D")</f>
        <v/>
      </c>
    </row>
    <row r="105" ht="18" customHeight="1" s="63">
      <c r="C105" s="112" t="inlineStr">
        <is>
          <t>Ср. маршрут волокна ДХ, м</t>
        </is>
      </c>
      <c r="D105" s="304" t="n">
        <v>1361</v>
      </c>
      <c r="E105" s="304" t="n"/>
      <c r="F105" s="304" t="n"/>
      <c r="G105" s="304" t="n">
        <v>279</v>
      </c>
      <c r="H105" s="313">
        <f>CHOOSE(MATCH(MIN(D105:G105),D105:G105,0),"A","B","C","D")</f>
        <v/>
      </c>
    </row>
    <row r="106" ht="18" customHeight="1" s="63">
      <c r="C106" s="114" t="inlineStr">
        <is>
          <t>ОРШ, шт</t>
        </is>
      </c>
      <c r="D106" s="305" t="n">
        <v>6</v>
      </c>
      <c r="E106" s="305" t="n">
        <v>6</v>
      </c>
      <c r="F106" s="305" t="n">
        <v>6</v>
      </c>
      <c r="G106" s="305" t="n">
        <v>42</v>
      </c>
      <c r="H106" s="314">
        <f>CHOOSE(MATCH(MIN(D106:G106),D106:G106,0),"A","B","C","D")</f>
        <v/>
      </c>
    </row>
    <row r="107" ht="18" customHeight="1" s="63">
      <c r="C107" s="112" t="inlineStr">
        <is>
          <t>РОР, шт</t>
        </is>
      </c>
      <c r="D107" s="304" t="n">
        <v>0</v>
      </c>
      <c r="E107" s="304" t="n">
        <v>515</v>
      </c>
      <c r="F107" s="304" t="n">
        <v>323</v>
      </c>
      <c r="G107" s="304" t="n">
        <v>0</v>
      </c>
      <c r="H107" s="313" t="n"/>
    </row>
    <row r="108" ht="18" customHeight="1" s="63">
      <c r="C108" s="114" t="inlineStr">
        <is>
          <t>Сплиттеры 1:64, шт</t>
        </is>
      </c>
      <c r="D108" s="305" t="n">
        <v>39</v>
      </c>
      <c r="E108" s="305" t="n">
        <v>0</v>
      </c>
      <c r="F108" s="305" t="n">
        <v>0</v>
      </c>
      <c r="G108" s="305" t="n">
        <v>65</v>
      </c>
      <c r="H108" s="314" t="n"/>
    </row>
    <row r="109" ht="18" customHeight="1" s="63">
      <c r="C109" s="112" t="inlineStr">
        <is>
          <t>Сплиттеры 1:8, шт</t>
        </is>
      </c>
      <c r="D109" s="304" t="n">
        <v>0</v>
      </c>
      <c r="E109" s="304" t="n">
        <v>581</v>
      </c>
      <c r="F109" s="304" t="n">
        <v>0</v>
      </c>
      <c r="G109" s="304" t="n">
        <v>0</v>
      </c>
      <c r="H109" s="313" t="n"/>
    </row>
    <row r="110" ht="18" customHeight="1" s="63">
      <c r="C110" s="114" t="inlineStr">
        <is>
          <t>Сплиттеры 1:4, шт</t>
        </is>
      </c>
      <c r="D110" s="305" t="n">
        <v>0</v>
      </c>
      <c r="E110" s="305" t="n">
        <v>0</v>
      </c>
      <c r="F110" s="305" t="n">
        <v>83</v>
      </c>
      <c r="G110" s="305" t="n">
        <v>0</v>
      </c>
      <c r="H110" s="314" t="n"/>
    </row>
    <row r="111" ht="18" customHeight="1" s="63">
      <c r="C111" s="112" t="inlineStr">
        <is>
          <t>Сплиттеры 1:16, шт</t>
        </is>
      </c>
      <c r="D111" s="304" t="n">
        <v>0</v>
      </c>
      <c r="E111" s="304" t="n">
        <v>0</v>
      </c>
      <c r="F111" s="304" t="n">
        <v>323</v>
      </c>
      <c r="G111" s="304" t="n">
        <v>0</v>
      </c>
      <c r="H111" s="313" t="n"/>
    </row>
    <row r="112" ht="18" customHeight="1" s="63">
      <c r="C112" s="114" t="inlineStr">
        <is>
          <t>Муфты, шт</t>
        </is>
      </c>
      <c r="D112" s="305" t="n">
        <v>1140</v>
      </c>
      <c r="E112" s="305" t="n">
        <v>115</v>
      </c>
      <c r="F112" s="305" t="n">
        <v>100</v>
      </c>
      <c r="G112" s="305" t="n">
        <v>1103</v>
      </c>
      <c r="H112" s="314">
        <f>CHOOSE(MATCH(MIN(D112:G112),D112:G112,0),"A","B","C","D")</f>
        <v/>
      </c>
    </row>
    <row r="113" ht="18" customHeight="1" s="63">
      <c r="C113" s="112" t="inlineStr">
        <is>
          <t>Сварки, шт</t>
        </is>
      </c>
      <c r="D113" s="304" t="n">
        <v>5136</v>
      </c>
      <c r="E113" s="304" t="n">
        <v>2585</v>
      </c>
      <c r="F113" s="304" t="n">
        <v>1552</v>
      </c>
      <c r="G113" s="304" t="n">
        <v>6914</v>
      </c>
      <c r="H113" s="313">
        <f>CHOOSE(MATCH(MIN(D113:G113),D113:G113,0),"A","B","C","D")</f>
        <v/>
      </c>
    </row>
    <row r="114" ht="18" customHeight="1" s="63">
      <c r="C114" s="114" t="inlineStr">
        <is>
          <t>Коннекторы FAST, шт</t>
        </is>
      </c>
      <c r="D114" s="305" t="n">
        <v>2569</v>
      </c>
      <c r="E114" s="305" t="n">
        <v>5136</v>
      </c>
      <c r="F114" s="305" t="n">
        <v>5136</v>
      </c>
      <c r="G114" s="305" t="n">
        <v>3386</v>
      </c>
      <c r="H114" s="314">
        <f>CHOOSE(MATCH(MIN(D114:G114),D114:G114,0),"A","B","C","D")</f>
        <v/>
      </c>
    </row>
    <row r="115" ht="18" customHeight="1" s="63">
      <c r="C115" s="112" t="inlineStr">
        <is>
          <t>Порты кросса ОРШ, шт</t>
        </is>
      </c>
      <c r="D115" s="304" t="n">
        <v>3600</v>
      </c>
      <c r="E115" s="304" t="n">
        <v>1008</v>
      </c>
      <c r="F115" s="304" t="n">
        <v>864</v>
      </c>
      <c r="G115" s="304" t="n">
        <v>5184</v>
      </c>
      <c r="H115" s="313">
        <f>CHOOSE(MATCH(MIN(D115:G115),D115:G115,0),"A","B","C","D")</f>
        <v/>
      </c>
    </row>
    <row r="116" ht="18" customHeight="1" s="63">
      <c r="C116" s="114" t="inlineStr">
        <is>
          <t>Порты OLT, шт</t>
        </is>
      </c>
      <c r="D116" s="305" t="n">
        <v>39</v>
      </c>
      <c r="E116" s="305" t="n">
        <v>66</v>
      </c>
      <c r="F116" s="305" t="n">
        <v>83</v>
      </c>
      <c r="G116" s="305" t="n">
        <v>65</v>
      </c>
      <c r="H116" s="314">
        <f>CHOOSE(MATCH(MIN(D116:G116),D116:G116,0),"A","B","C","D")</f>
        <v/>
      </c>
    </row>
    <row r="117" ht="18" customHeight="1" s="63">
      <c r="C117" s="112" t="inlineStr">
        <is>
          <t>Комплекты подвеса, шт</t>
        </is>
      </c>
      <c r="D117" s="304" t="n">
        <v>2911</v>
      </c>
      <c r="E117" s="304" t="n">
        <v>4180</v>
      </c>
      <c r="F117" s="304" t="n">
        <v>6136</v>
      </c>
      <c r="G117" s="304" t="n">
        <v>2472</v>
      </c>
      <c r="H117" s="313">
        <f>CHOOSE(MATCH(MIN(D117:G117),D117:G117,0),"A","B","C","D")</f>
        <v/>
      </c>
    </row>
    <row r="118" ht="18" customHeight="1" s="63">
      <c r="C118" s="114" t="inlineStr">
        <is>
          <t>Доп. шкафы ОРШ (сверх 6), шт</t>
        </is>
      </c>
      <c r="D118" s="305" t="n">
        <v>0</v>
      </c>
      <c r="E118" s="305" t="n">
        <v>0</v>
      </c>
      <c r="F118" s="305" t="n">
        <v>0</v>
      </c>
      <c r="G118" s="305" t="n">
        <v>36</v>
      </c>
      <c r="H118" s="314">
        <f>CHOOSE(MATCH(MIN(D118:G118),D118:G118,0),"A","B","C","D")</f>
        <v/>
      </c>
    </row>
    <row r="119" ht="14" customHeight="1" s="63">
      <c r="B119" s="107" t="inlineStr">
        <is>
          <t>«Лучшая» — минимум по строке (для числа узлов и портов меньший объём работ также считается лучшим; равные значения дают первую). Ср. маршрут волокна ДХ: A/D — от ОРШ до муфты абонента; в каскадах маршрут делится на-shared участки до РОР, показатель не определён.</t>
        </is>
      </c>
    </row>
    <row r="121" ht="24" customHeight="1" s="63">
      <c r="B121" s="108" t="n"/>
      <c r="C121" s="108" t="inlineStr">
        <is>
          <t>Д. Ориентировочный индекс стоимости и чувствительность к цене ёмкости</t>
        </is>
      </c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</row>
    <row r="122" ht="28" customHeight="1" s="63">
      <c r="C122" s="111" t="inlineStr">
        <is>
          <t>Составляющая, у.е. (1 км кабеля 8F)</t>
        </is>
      </c>
      <c r="D122" s="111" t="inlineStr">
        <is>
          <t>A: централизо-ванная</t>
        </is>
      </c>
      <c r="E122" s="111" t="inlineStr">
        <is>
          <t>B: каскад 1:8+1:8</t>
        </is>
      </c>
      <c r="F122" s="111" t="inlineStr">
        <is>
          <t>C: каскад 1:4+1:16</t>
        </is>
      </c>
      <c r="G122" s="111" t="inlineStr">
        <is>
          <t>D: зонные ОРШ</t>
        </is>
      </c>
    </row>
    <row r="123" ht="18" customHeight="1" s="63">
      <c r="C123" s="112" t="inlineStr">
        <is>
          <t>Кабельная продукция (магистраль)</t>
        </is>
      </c>
      <c r="D123" s="306" t="n">
        <v>233</v>
      </c>
      <c r="E123" s="306" t="n">
        <v>107</v>
      </c>
      <c r="F123" s="306" t="n">
        <v>88.90000000000001</v>
      </c>
      <c r="G123" s="306" t="n">
        <v>133</v>
      </c>
    </row>
    <row r="124" ht="18" customHeight="1" s="63">
      <c r="C124" s="114" t="inlineStr">
        <is>
          <t>Дроп-кабели</t>
        </is>
      </c>
      <c r="D124" s="308" t="n">
        <v>47.9</v>
      </c>
      <c r="E124" s="308" t="n">
        <v>85.3</v>
      </c>
      <c r="F124" s="308" t="n">
        <v>122</v>
      </c>
      <c r="G124" s="308" t="n">
        <v>63.1</v>
      </c>
    </row>
    <row r="125" ht="18" customHeight="1" s="63">
      <c r="C125" s="112" t="inlineStr">
        <is>
          <t>Оборудование и монтаж</t>
        </is>
      </c>
      <c r="D125" s="306" t="n">
        <v>315</v>
      </c>
      <c r="E125" s="306" t="n">
        <v>306.2</v>
      </c>
      <c r="F125" s="306" t="n">
        <v>270.8</v>
      </c>
      <c r="G125" s="306" t="n">
        <v>372.7</v>
      </c>
    </row>
    <row r="126">
      <c r="C126" s="108" t="inlineStr">
        <is>
          <t>ИТОГО</t>
        </is>
      </c>
      <c r="D126" s="132">
        <f>SUM(D123:D125)</f>
        <v/>
      </c>
      <c r="E126" s="132">
        <f>SUM(E123:E125)</f>
        <v/>
      </c>
      <c r="F126" s="132">
        <f>SUM(F123:F125)</f>
        <v/>
      </c>
      <c r="G126" s="132">
        <f>SUM(G123:G125)</f>
        <v/>
      </c>
    </row>
    <row r="127">
      <c r="C127" s="114" t="inlineStr">
        <is>
          <t>Доп. шкафы ОРШ (сверх базовых 6, по 1,5 у.е.)</t>
        </is>
      </c>
      <c r="D127" s="308" t="n">
        <v>0</v>
      </c>
      <c r="E127" s="308" t="n">
        <v>0</v>
      </c>
      <c r="F127" s="308" t="n">
        <v>0</v>
      </c>
      <c r="G127" s="308" t="n">
        <v>54</v>
      </c>
    </row>
    <row r="128">
      <c r="C128" s="108" t="inlineStr">
        <is>
          <t>ИТОГО с доп. шкафами</t>
        </is>
      </c>
      <c r="D128" s="132">
        <f>D126+D127</f>
        <v/>
      </c>
      <c r="E128" s="132">
        <f>E126+E127</f>
        <v/>
      </c>
      <c r="F128" s="132">
        <f>F126+F127</f>
        <v/>
      </c>
      <c r="G128" s="132">
        <f>G126+G127</f>
        <v/>
      </c>
    </row>
    <row r="129">
      <c r="C129" s="112" t="inlineStr">
        <is>
          <t>Δ к лучшей схеме</t>
        </is>
      </c>
      <c r="D129" s="307">
        <f>D128/MIN($D$128:$G$128)-1</f>
        <v/>
      </c>
      <c r="E129" s="307">
        <f>E128/MIN($D$128:$G$128)-1</f>
        <v/>
      </c>
      <c r="F129" s="307">
        <f>F128/MIN($D$128:$G$128)-1</f>
        <v/>
      </c>
      <c r="G129" s="307">
        <f>G128/MIN($D$128:$G$128)-1</f>
        <v/>
      </c>
    </row>
    <row r="130" ht="14" customHeight="1" s="63">
      <c r="B130" s="107" t="inlineStr">
        <is>
          <t>Индекс по коэффициентам листа «Проверка волокно-км» (цена кабеля ~ (F/8)^0,5; оборудование по ориентировочным долям). Оценка для сравнения схем, не для сметы. Все схемы имеют 6 базовых ОРШ на ЦУ — в сравнении учтены только дополнительные шкафы схемы D.</t>
        </is>
      </c>
    </row>
    <row r="132" ht="28" customHeight="1" s="63">
      <c r="C132" s="111" t="inlineStr">
        <is>
          <t>Показатель цены k</t>
        </is>
      </c>
      <c r="D132" s="111" t="inlineStr">
        <is>
          <t>A: централизо-ванная</t>
        </is>
      </c>
      <c r="E132" s="111" t="inlineStr">
        <is>
          <t>B: каскад 1:8+1:8</t>
        </is>
      </c>
      <c r="F132" s="111" t="inlineStr">
        <is>
          <t>C: каскад 1:4+1:16</t>
        </is>
      </c>
      <c r="G132" s="111" t="inlineStr">
        <is>
          <t>D: зонные ОРШ</t>
        </is>
      </c>
      <c r="H132" s="111" t="inlineStr">
        <is>
          <t>Лучшая</t>
        </is>
      </c>
    </row>
    <row r="133" ht="18" customHeight="1" s="63">
      <c r="C133" s="316" t="n">
        <v>0</v>
      </c>
      <c r="D133" s="304" t="n">
        <v>520.2</v>
      </c>
      <c r="E133" s="304" t="n">
        <v>553.4</v>
      </c>
      <c r="F133" s="304" t="n">
        <v>585.9</v>
      </c>
      <c r="G133" s="304" t="n">
        <v>646.1</v>
      </c>
      <c r="H133" s="313">
        <f>CHOOSE(MATCH(MIN(D133:G133),D133:G133,0),"A","B","C","D")</f>
        <v/>
      </c>
    </row>
    <row r="134" ht="18" customHeight="1" s="63">
      <c r="C134" s="317" t="n">
        <v>0.3</v>
      </c>
      <c r="D134" s="305" t="n">
        <v>545.2</v>
      </c>
      <c r="E134" s="305" t="n">
        <v>510.5</v>
      </c>
      <c r="F134" s="305" t="n">
        <v>511.9</v>
      </c>
      <c r="G134" s="305" t="n">
        <v>623.6</v>
      </c>
      <c r="H134" s="314">
        <f>CHOOSE(MATCH(MIN(D134:G134),D134:G134,0),"A","B","C","D")</f>
        <v/>
      </c>
    </row>
    <row r="135" ht="18" customHeight="1" s="63">
      <c r="C135" s="316" t="n">
        <v>0.5</v>
      </c>
      <c r="D135" s="304" t="n">
        <v>595.9</v>
      </c>
      <c r="E135" s="304" t="n">
        <v>498.6</v>
      </c>
      <c r="F135" s="304" t="n">
        <v>481.6</v>
      </c>
      <c r="G135" s="304" t="n">
        <v>622.9</v>
      </c>
      <c r="H135" s="313">
        <f>CHOOSE(MATCH(MIN(D135:G135),D135:G135,0),"A","B","C","D")</f>
        <v/>
      </c>
    </row>
    <row r="136" ht="18" customHeight="1" s="63">
      <c r="C136" s="317" t="n">
        <v>0.7</v>
      </c>
      <c r="D136" s="305" t="n">
        <v>688</v>
      </c>
      <c r="E136" s="305" t="n">
        <v>500.1</v>
      </c>
      <c r="F136" s="305" t="n">
        <v>464</v>
      </c>
      <c r="G136" s="305" t="n">
        <v>633.8</v>
      </c>
      <c r="H136" s="314">
        <f>CHOOSE(MATCH(MIN(D136:G136),D136:G136,0),"A","B","C","D")</f>
        <v/>
      </c>
    </row>
    <row r="137" ht="18" customHeight="1" s="63">
      <c r="C137" s="316" t="n">
        <v>1</v>
      </c>
      <c r="D137" s="304" t="n">
        <v>955</v>
      </c>
      <c r="E137" s="304" t="n">
        <v>531.4</v>
      </c>
      <c r="F137" s="304" t="n">
        <v>459.4</v>
      </c>
      <c r="G137" s="304" t="n">
        <v>676.2</v>
      </c>
      <c r="H137" s="313">
        <f>CHOOSE(MATCH(MIN(D137:G137),D137:G137,0),"A","B","C","D")</f>
        <v/>
      </c>
    </row>
    <row r="138" ht="14" customHeight="1" s="63">
      <c r="B138" s="107" t="inlineStr">
        <is>
          <t>k = 0 — цена кабеля не зависит от ёмкости; 0,5 — реалистично (√F); 1 — пропорционально волокно-км. D с доп. шкафами. При k = 0 выигрывает A (520 у.е.), при k &gt;= 0,3 — каскады; D устойчиво вторая с минимальной длиной.</t>
        </is>
      </c>
    </row>
    <row r="140" ht="24" customHeight="1" s="63">
      <c r="B140" s="108" t="n"/>
      <c r="C140" s="108" t="inlineStr">
        <is>
          <t>Е. Вывод</t>
        </is>
      </c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</row>
    <row r="141" ht="36" customHeight="1" s="63">
      <c r="B141" s="135" t="inlineStr">
        <is>
          <t>Децентрализация работает: перенос сплиттеров из одного ОРШ села в зонные шкафы (в центрах секторов) сократил волокно-км с 4 375,1 (схема A) до 1 347,3 — на 69% — при полностью сохранённой топологии: те же муфты, те же дропы (95,8 км — минимум по всем схемам), та же трасса магистрали 73,1 км.</t>
        </is>
      </c>
    </row>
    <row r="142" ht="50" customHeight="1" s="63">
      <c r="B142" s="135" t="inlineStr">
        <is>
          <t>Схема D — лидер по суммарной длине кабельной продукции: 183,0 км (87,2 магистраль + 95,8 дропы) против 205,2 км у A, 247,2 у B, 315,1 у C и 191,2 км у «оптимума по длине» (R50). Максимальная ёмкость участка — 92 волокна против 972 у A, параллельных кабелей на участке — нет (было 2): фидеры к медианам полностью разместились в распределительных кабелях.</t>
        </is>
      </c>
    </row>
    <row r="143" ht="50" customHeight="1" s="63">
      <c r="B143" s="135" t="inlineStr">
        <is>
          <t>Цена децентрализации — оборудование: 42 ОРШ вместо 6 (36 доп. шкафов, +54 у.е.), 64 сплиттера, 5 040 портов кросса. Индекс стоимости 524 у.е. с шкафами: на 12% дешевле централизованной (596), но на 8,9% дороже каскада C (482). Выигрыш v3 против v1-топологии (533 у.е., 1 562,5 вол-км): −215,2 вол-км волокна (−13,8%), на 2 шкафа меньше.</t>
        </is>
      </c>
    </row>
    <row r="144" ht="36" customHeight="1" s="63">
      <c r="B144" s="135" t="inlineStr">
        <is>
          <t>Чувствительность: при плоских ценах кабеля (k = 0) лучшая — A; при реалистичных k &gt;= 0,3 — каскады, D — устойчивая вторая схема (блок Д2). D выигрывает у B по стоимости за счёт коротких дропов и отсутствия параллельной прокладки.</t>
        </is>
      </c>
    </row>
    <row r="145" ht="50" customHeight="1" s="63">
      <c r="B145" s="135" t="inlineStr">
        <is>
          <t>Эксплуатационный профиль D ближе к централизованной: нет РОР с полупустыми сплиттерами (заполнение зон 75-100% против 45% у C), подключение абонента и OTDR-диагностика — из зонного ОРШ (средний маршрут волокна ДХ -&gt; свой ОРШ 322 м против 1 361 м у A), портов OLT меньше, чем у каскадов (49 против 66 и 83). Плюс свой бонус: авария зонного шкафа затрагивает только свою зону, а не всё село.</t>
        </is>
      </c>
    </row>
    <row r="146" ht="50" customHeight="1" s="63">
      <c r="B146" s="135" t="inlineStr">
        <is>
          <t>Итог: если критерий — минимальное волокно и простая эксплуатация, лучшая схема D: 1 347,3 волокно-км (ниже касекада B), 183,0 км кабельной продукции, дропы 95,8 км. Если критерий — минимальная смета при реалистичных ценах, каскад 1:4+1:16 остаётся первым (482 у.е.), D — второй (524 у.е.) с минимальным волокном, централизованная — третья (596 у.е.).</t>
        </is>
      </c>
    </row>
  </sheetData>
  <mergeCells count="21">
    <mergeCell ref="B146:N146"/>
    <mergeCell ref="B143:N143"/>
    <mergeCell ref="D10:N10"/>
    <mergeCell ref="B142:N142"/>
    <mergeCell ref="D6:N6"/>
    <mergeCell ref="B144:N144"/>
    <mergeCell ref="D11:N11"/>
    <mergeCell ref="B138:N138"/>
    <mergeCell ref="D13:N13"/>
    <mergeCell ref="B141:N141"/>
    <mergeCell ref="D7:N7"/>
    <mergeCell ref="B130:N130"/>
    <mergeCell ref="B77:N77"/>
    <mergeCell ref="B2:N2"/>
    <mergeCell ref="D9:N9"/>
    <mergeCell ref="B145:N145"/>
    <mergeCell ref="D12:N12"/>
    <mergeCell ref="D8:N8"/>
    <mergeCell ref="B61:N61"/>
    <mergeCell ref="B119:N119"/>
    <mergeCell ref="D14:N1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L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36" customWidth="1" style="62" min="3" max="3"/>
    <col width="10" customWidth="1" style="62" min="4" max="4"/>
    <col width="12" customWidth="1" style="62" min="5" max="7"/>
    <col width="13" customWidth="1" style="62" min="8" max="8"/>
    <col width="11" customWidth="1" style="62" min="9" max="10"/>
    <col width="10" customWidth="1" style="62" min="11" max="12"/>
  </cols>
  <sheetData>
    <row r="2" ht="31.5" customHeight="1" s="63">
      <c r="B2" s="64" t="inlineStr">
        <is>
          <t>Проверка волокно-км централизованной схемы — FTTH (GPON), 6 СНП ВКО</t>
        </is>
      </c>
    </row>
    <row r="3" ht="13.5" customHeight="1" s="63">
      <c r="B3" s="65" t="inlineStr">
        <is>
          <t>Вопрос: почему в централизованной схеме 4 375 волокно-км при минимальной суммарной длине кабеля? Независимая перепроверка расчёта, декомпозиция показателя и сопоставление с каскадными схемами. Сети и топология — без изменений. Подготовлено 18.09.2026</t>
        </is>
      </c>
    </row>
    <row r="5" ht="24" customHeight="1" s="63">
      <c r="B5" s="67" t="n"/>
      <c r="C5" s="67" t="inlineStr">
        <is>
          <t>А. Независимая перепроверка расчёта централизованной схемы</t>
        </is>
      </c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</row>
    <row r="6" ht="27.75" customHeight="1" s="63">
      <c r="B6" s="66" t="inlineStr">
        <is>
          <t>№</t>
        </is>
      </c>
      <c r="C6" s="66" t="inlineStr">
        <is>
          <t>СНП</t>
        </is>
      </c>
      <c r="D6" s="66" t="inlineStr">
        <is>
          <t>ДХ (проект)</t>
        </is>
      </c>
      <c r="E6" s="66" t="inlineStr">
        <is>
          <t>Волокно-км — книга</t>
        </is>
      </c>
      <c r="F6" s="66" t="inlineStr">
        <is>
          <t>Волокно-км — пересчёт</t>
        </is>
      </c>
      <c r="G6" s="66" t="inlineStr">
        <is>
          <t>Расхождение</t>
        </is>
      </c>
      <c r="H6" s="66" t="inlineStr">
        <is>
          <t>Статус</t>
        </is>
      </c>
    </row>
    <row r="7" ht="21.75" customHeight="1" s="63">
      <c r="B7" s="68" t="n">
        <v>1</v>
      </c>
      <c r="C7" s="69" t="inlineStr">
        <is>
          <t>Верхнеберезовка</t>
        </is>
      </c>
      <c r="D7" s="70" t="n">
        <v>799</v>
      </c>
      <c r="E7" s="76" t="n">
        <v>1884.7</v>
      </c>
      <c r="F7" s="76" t="n">
        <v>1884.7</v>
      </c>
      <c r="G7" s="76">
        <f>F7-E7</f>
        <v/>
      </c>
      <c r="H7" s="68">
        <f>IF(ABS(G7)&lt;0.15,"совпадает","РАСХОЖДЕНИЕ")</f>
        <v/>
      </c>
    </row>
    <row r="8" ht="21.75" customHeight="1" s="63">
      <c r="B8" s="72" t="n">
        <v>2</v>
      </c>
      <c r="C8" s="73" t="inlineStr">
        <is>
          <t>Солнечное</t>
        </is>
      </c>
      <c r="D8" s="74" t="n">
        <v>112</v>
      </c>
      <c r="E8" s="78" t="n">
        <v>90.3</v>
      </c>
      <c r="F8" s="78" t="n">
        <v>90.3</v>
      </c>
      <c r="G8" s="78">
        <f>F8-E8</f>
        <v/>
      </c>
      <c r="H8" s="72">
        <f>IF(ABS(G8)&lt;0.15,"совпадает","РАСХОЖДЕНИЕ")</f>
        <v/>
      </c>
    </row>
    <row r="9" ht="21.75" customHeight="1" s="63">
      <c r="B9" s="68" t="n">
        <v>3</v>
      </c>
      <c r="C9" s="69" t="inlineStr">
        <is>
          <t>Перевальное</t>
        </is>
      </c>
      <c r="D9" s="70" t="n">
        <v>350</v>
      </c>
      <c r="E9" s="76" t="n">
        <v>537.9</v>
      </c>
      <c r="F9" s="76" t="n">
        <v>537.9</v>
      </c>
      <c r="G9" s="76">
        <f>F9-E9</f>
        <v/>
      </c>
      <c r="H9" s="68">
        <f>IF(ABS(G9)&lt;0.15,"совпадает","РАСХОЖДЕНИЕ")</f>
        <v/>
      </c>
    </row>
    <row r="10" ht="21.75" customHeight="1" s="63">
      <c r="B10" s="72" t="n">
        <v>4</v>
      </c>
      <c r="C10" s="73" t="inlineStr">
        <is>
          <t>Винное</t>
        </is>
      </c>
      <c r="D10" s="74" t="n">
        <v>550</v>
      </c>
      <c r="E10" s="78" t="n">
        <v>1086.7</v>
      </c>
      <c r="F10" s="78" t="n">
        <v>1086.7</v>
      </c>
      <c r="G10" s="78">
        <f>F10-E10</f>
        <v/>
      </c>
      <c r="H10" s="72">
        <f>IF(ABS(G10)&lt;0.15,"совпадает","РАСХОЖДЕНИЕ")</f>
        <v/>
      </c>
    </row>
    <row r="11" ht="21.75" customHeight="1" s="63">
      <c r="B11" s="68" t="n">
        <v>5</v>
      </c>
      <c r="C11" s="69" t="inlineStr">
        <is>
          <t>Пригородное</t>
        </is>
      </c>
      <c r="D11" s="70" t="n">
        <v>244</v>
      </c>
      <c r="E11" s="76" t="n">
        <v>491.2</v>
      </c>
      <c r="F11" s="76" t="n">
        <v>491.2</v>
      </c>
      <c r="G11" s="76">
        <f>F11-E11</f>
        <v/>
      </c>
      <c r="H11" s="68">
        <f>IF(ABS(G11)&lt;0.15,"совпадает","РАСХОЖДЕНИЕ")</f>
        <v/>
      </c>
    </row>
    <row r="12" ht="21.75" customHeight="1" s="63">
      <c r="B12" s="72" t="n">
        <v>6</v>
      </c>
      <c r="C12" s="73" t="inlineStr">
        <is>
          <t>Алтайский</t>
        </is>
      </c>
      <c r="D12" s="74" t="n">
        <v>279</v>
      </c>
      <c r="E12" s="78" t="n">
        <v>284.3</v>
      </c>
      <c r="F12" s="78" t="n">
        <v>284.3</v>
      </c>
      <c r="G12" s="78">
        <f>F12-E12</f>
        <v/>
      </c>
      <c r="H12" s="72">
        <f>IF(ABS(G12)&lt;0.15,"совпадает","РАСХОЖДЕНИЕ")</f>
        <v/>
      </c>
    </row>
    <row r="13" ht="25.5" customHeight="1" s="63">
      <c r="B13" s="86" t="n"/>
      <c r="C13" s="86" t="inlineStr">
        <is>
          <t>ИТОГО</t>
        </is>
      </c>
      <c r="D13" s="136">
        <f>SUM(D7:D12)</f>
        <v/>
      </c>
      <c r="E13" s="91">
        <f>SUM(E7:E12)</f>
        <v/>
      </c>
      <c r="F13" s="91">
        <f>SUM(F7:F12)</f>
        <v/>
      </c>
      <c r="G13" s="91">
        <f>F13-E13</f>
        <v/>
      </c>
      <c r="H13" s="86">
        <f>IF(ABS(G13)&lt;0.15,"совпадает","РАСХОЖДЕНИЕ")</f>
        <v/>
      </c>
    </row>
    <row r="14" ht="13.5" customHeight="1" s="63">
      <c r="B14" s="65" t="inlineStr">
        <is>
          <t>Пересчёт выполнен независимой реализацией (обход дерева DFS вместо BFS, код писался заново); дополнительно сверены ДХ, муфты, длины магистрали и дропов, ёмкости кабеля по сёлам — расхождений нет. Винное: 1 дроп (hh 23) привязан к ОРШ, его волокно не проходит по магистрали — на итог не влияет.</t>
        </is>
      </c>
    </row>
    <row r="16" ht="24" customHeight="1" s="63">
      <c r="B16" s="67" t="n"/>
      <c r="C16" s="67" t="inlineStr">
        <is>
          <t>Б. Декомпозиция волокно-км: из чего складываются 4 375 км</t>
        </is>
      </c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</row>
    <row r="17" ht="27.75" customHeight="1" s="63">
      <c r="B17" s="66" t="inlineStr">
        <is>
          <t>№</t>
        </is>
      </c>
      <c r="C17" s="66" t="inlineStr">
        <is>
          <t>СНП</t>
        </is>
      </c>
      <c r="D17" s="66" t="inlineStr">
        <is>
          <t>ДХ</t>
        </is>
      </c>
      <c r="E17" s="66" t="inlineStr">
        <is>
          <t>База: выделенное волокно каждому ДХ, км</t>
        </is>
      </c>
      <c r="F17" s="66" t="inlineStr">
        <is>
          <t>+ Резерв 25 %, км</t>
        </is>
      </c>
      <c r="G17" s="66" t="inlineStr">
        <is>
          <t>+ Минимум 8 волокон, км</t>
        </is>
      </c>
      <c r="H17" s="66" t="inlineStr">
        <is>
          <t>+ Стандартные ёмкости, км</t>
        </is>
      </c>
      <c r="I17" s="66" t="inlineStr">
        <is>
          <t>Итого волокно-км</t>
        </is>
      </c>
      <c r="J17" s="66" t="inlineStr">
        <is>
          <t>Ср. маршрут волокна, м</t>
        </is>
      </c>
      <c r="K17" s="66" t="inlineStr">
        <is>
          <t>Медиана, м</t>
        </is>
      </c>
      <c r="L17" s="66" t="inlineStr">
        <is>
          <t>p90, м</t>
        </is>
      </c>
    </row>
    <row r="18" ht="21.75" customHeight="1" s="63">
      <c r="B18" s="68" t="n">
        <v>1</v>
      </c>
      <c r="C18" s="69" t="inlineStr">
        <is>
          <t>Верхнеберезовка</t>
        </is>
      </c>
      <c r="D18" s="70" t="n">
        <v>799</v>
      </c>
      <c r="E18" s="76" t="n">
        <v>1390.2</v>
      </c>
      <c r="F18" s="76" t="n">
        <v>359.5</v>
      </c>
      <c r="G18" s="76" t="n">
        <v>50.9</v>
      </c>
      <c r="H18" s="76" t="n">
        <v>84.09999999999999</v>
      </c>
      <c r="I18" s="76">
        <f>SUM(E18:H18)</f>
        <v/>
      </c>
      <c r="J18" s="70" t="n">
        <v>1740</v>
      </c>
      <c r="K18" s="70" t="n">
        <v>1819</v>
      </c>
      <c r="L18" s="70" t="n">
        <v>2827.1</v>
      </c>
    </row>
    <row r="19" ht="21.75" customHeight="1" s="63">
      <c r="B19" s="72" t="n">
        <v>2</v>
      </c>
      <c r="C19" s="73" t="inlineStr">
        <is>
          <t>Солнечное</t>
        </is>
      </c>
      <c r="D19" s="74" t="n">
        <v>112</v>
      </c>
      <c r="E19" s="78" t="n">
        <v>56.4</v>
      </c>
      <c r="F19" s="78" t="n">
        <v>16</v>
      </c>
      <c r="G19" s="78" t="n">
        <v>8.800000000000001</v>
      </c>
      <c r="H19" s="78" t="n">
        <v>9.1</v>
      </c>
      <c r="I19" s="78">
        <f>SUM(E19:H19)</f>
        <v/>
      </c>
      <c r="J19" s="74" t="n">
        <v>503.8</v>
      </c>
      <c r="K19" s="74" t="n">
        <v>494.7</v>
      </c>
      <c r="L19" s="74" t="n">
        <v>810.9</v>
      </c>
    </row>
    <row r="20" ht="21.75" customHeight="1" s="63">
      <c r="B20" s="68" t="n">
        <v>3</v>
      </c>
      <c r="C20" s="69" t="inlineStr">
        <is>
          <t>Перевальное</t>
        </is>
      </c>
      <c r="D20" s="70" t="n">
        <v>350</v>
      </c>
      <c r="E20" s="76" t="n">
        <v>387.7</v>
      </c>
      <c r="F20" s="76" t="n">
        <v>101.1</v>
      </c>
      <c r="G20" s="76" t="n">
        <v>14.3</v>
      </c>
      <c r="H20" s="76" t="n">
        <v>34.8</v>
      </c>
      <c r="I20" s="76">
        <f>SUM(E20:H20)</f>
        <v/>
      </c>
      <c r="J20" s="70" t="n">
        <v>1107.7</v>
      </c>
      <c r="K20" s="70" t="n">
        <v>1129.1</v>
      </c>
      <c r="L20" s="70" t="n">
        <v>1811.3</v>
      </c>
    </row>
    <row r="21" ht="21.75" customHeight="1" s="63">
      <c r="B21" s="72" t="n">
        <v>4</v>
      </c>
      <c r="C21" s="73" t="inlineStr">
        <is>
          <t>Винное</t>
        </is>
      </c>
      <c r="D21" s="74" t="n">
        <v>550</v>
      </c>
      <c r="E21" s="78" t="n">
        <v>787.1</v>
      </c>
      <c r="F21" s="78" t="n">
        <v>204.2</v>
      </c>
      <c r="G21" s="78" t="n">
        <v>29.3</v>
      </c>
      <c r="H21" s="78" t="n">
        <v>66.09999999999999</v>
      </c>
      <c r="I21" s="78">
        <f>SUM(E21:H21)</f>
        <v/>
      </c>
      <c r="J21" s="74" t="n">
        <v>1433.7</v>
      </c>
      <c r="K21" s="74" t="n">
        <v>1362.4</v>
      </c>
      <c r="L21" s="74" t="n">
        <v>2474.1</v>
      </c>
    </row>
    <row r="22" ht="21.75" customHeight="1" s="63">
      <c r="B22" s="68" t="n">
        <v>5</v>
      </c>
      <c r="C22" s="69" t="inlineStr">
        <is>
          <t>Пригородное</t>
        </is>
      </c>
      <c r="D22" s="70" t="n">
        <v>244</v>
      </c>
      <c r="E22" s="76" t="n">
        <v>359.4</v>
      </c>
      <c r="F22" s="76" t="n">
        <v>93</v>
      </c>
      <c r="G22" s="76" t="n">
        <v>12.7</v>
      </c>
      <c r="H22" s="76" t="n">
        <v>26.1</v>
      </c>
      <c r="I22" s="76">
        <f>SUM(E22:H22)</f>
        <v/>
      </c>
      <c r="J22" s="70" t="n">
        <v>1473.1</v>
      </c>
      <c r="K22" s="70" t="n">
        <v>1491.8</v>
      </c>
      <c r="L22" s="70" t="n">
        <v>2479.3</v>
      </c>
    </row>
    <row r="23" ht="21.75" customHeight="1" s="63">
      <c r="B23" s="72" t="n">
        <v>6</v>
      </c>
      <c r="C23" s="73" t="inlineStr">
        <is>
          <t>Алтайский</t>
        </is>
      </c>
      <c r="D23" s="74" t="n">
        <v>279</v>
      </c>
      <c r="E23" s="78" t="n">
        <v>194.6</v>
      </c>
      <c r="F23" s="78" t="n">
        <v>52</v>
      </c>
      <c r="G23" s="78" t="n">
        <v>15.2</v>
      </c>
      <c r="H23" s="78" t="n">
        <v>22.5</v>
      </c>
      <c r="I23" s="78">
        <f>SUM(E23:H23)</f>
        <v/>
      </c>
      <c r="J23" s="74" t="n">
        <v>697.5</v>
      </c>
      <c r="K23" s="74" t="n">
        <v>641</v>
      </c>
      <c r="L23" s="74" t="n">
        <v>1277</v>
      </c>
    </row>
    <row r="24" ht="25.5" customHeight="1" s="63">
      <c r="B24" s="86" t="n"/>
      <c r="C24" s="86" t="inlineStr">
        <is>
          <t>ИТОГО</t>
        </is>
      </c>
      <c r="D24" s="136">
        <f>SUM(D18:D23)</f>
        <v/>
      </c>
      <c r="E24" s="91">
        <f>SUM(E18:E23)</f>
        <v/>
      </c>
      <c r="F24" s="91">
        <f>SUM(F18:F23)</f>
        <v/>
      </c>
      <c r="G24" s="91">
        <f>SUM(G18:G23)</f>
        <v/>
      </c>
      <c r="H24" s="91">
        <f>SUM(H18:H23)</f>
        <v/>
      </c>
      <c r="I24" s="91">
        <f>SUM(I18:I23)</f>
        <v/>
      </c>
      <c r="J24" s="136">
        <f>IFERROR(SUMPRODUCT(J18:J23,D18:D23)/D24,"")</f>
        <v/>
      </c>
      <c r="K24" s="86" t="inlineStr">
        <is>
          <t>—</t>
        </is>
      </c>
      <c r="L24" s="86" t="inlineStr">
        <is>
          <t>—</t>
        </is>
      </c>
    </row>
    <row r="25" ht="13.5" customHeight="1" s="63">
      <c r="B25" s="65" t="inlineStr">
        <is>
          <t>Хвостовые участки с минимумом 8 волокон: 6 873 участка суммарной длиной 29,0 км — лишь 232 волокно-км (5 %). Средний волоконный маршрут ДХ (ОРШ -&gt; муфта) по 6 СНП — 1 361 м. Резерв 25 % заложен и в каскадных схемах.</t>
        </is>
      </c>
    </row>
    <row r="27" ht="24" customHeight="1" s="63">
      <c r="B27" s="67" t="n"/>
      <c r="C27" s="67" t="inlineStr">
        <is>
          <t>В. Три схемы: почему в каскадах волокон в 3,5–4,9 раза меньше</t>
        </is>
      </c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27.75" customHeight="1" s="63">
      <c r="B28" s="66" t="inlineStr">
        <is>
          <t>Схема</t>
        </is>
      </c>
      <c r="C28" s="66" t="inlineStr">
        <is>
          <t>Волокно-км</t>
        </is>
      </c>
      <c r="D28" s="66" t="inlineStr">
        <is>
          <t>Установленная ёмкость BoQ (+10 %), волокно-км</t>
        </is>
      </c>
      <c r="E28" s="66" t="inlineStr">
        <is>
          <t>Волокно-км на 1 ДХ, км</t>
        </is>
      </c>
      <c r="G28" s="66" t="inlineStr">
        <is>
          <t>Принцип формирования ёмкости участка магистрали</t>
        </is>
      </c>
      <c r="H28" s="137" t="n"/>
      <c r="I28" s="137" t="n"/>
      <c r="J28" s="137" t="n"/>
      <c r="K28" s="137" t="n"/>
      <c r="L28" s="137" t="n"/>
    </row>
    <row r="29" ht="42" customHeight="1" s="63">
      <c r="C29" s="69" t="inlineStr">
        <is>
          <t>A. Централизованная 1:64 (сплиттеры в ОРШ)</t>
        </is>
      </c>
      <c r="D29" s="76" t="n">
        <v>4375.1</v>
      </c>
      <c r="E29" s="70" t="n">
        <v>4929</v>
      </c>
      <c r="F29" s="138">
        <f>ROUND(D29/2334,2)</f>
        <v/>
      </c>
      <c r="G29" s="69" t="inlineStr">
        <is>
          <t>Каждому ДХ — выделенное волокно на всей трассе от ОРШ до его муфты (в среднем 1 361 м); ёмкость участка = 1,25 × ДХ ниже по потоку, минимум 8 волокон.</t>
        </is>
      </c>
    </row>
    <row r="30" ht="42" customHeight="1" s="63">
      <c r="C30" s="73" t="inlineStr">
        <is>
          <t>B. Каскадная 1:8 + 1:8 (радиус РОР 100 м)</t>
        </is>
      </c>
      <c r="D30" s="78" t="n">
        <v>1256.1</v>
      </c>
      <c r="E30" s="74" t="n">
        <v>1460</v>
      </c>
      <c r="F30" s="139">
        <f>ROUND(D30/2334,2)</f>
        <v/>
      </c>
      <c r="G30" s="73" t="inlineStr">
        <is>
          <t>Одно волокно делится между 8 абонентами до РОР (сплиттер 1:8 в РОР); ёмкость участка = 1,25 × число РОР ниже по потоку (515 РОР).</t>
        </is>
      </c>
    </row>
    <row r="31" ht="42" customHeight="1" s="63">
      <c r="C31" s="69" t="inlineStr">
        <is>
          <t>C. Каскадная 1:4 + 1:16 (радиус РОР 150 м) — принята</t>
        </is>
      </c>
      <c r="D31" s="76" t="n">
        <v>889.2</v>
      </c>
      <c r="E31" s="70" t="n">
        <v>1021</v>
      </c>
      <c r="F31" s="138">
        <f>ROUND(D31/2334,2)</f>
        <v/>
      </c>
      <c r="G31" s="69" t="inlineStr">
        <is>
          <t>Одно волокно делится между 16 абонентами до РОР (сплиттер 1:16 в РОР); ёмкость участка = 1,25 × число РОР ниже по потоку (323 РОР).</t>
        </is>
      </c>
    </row>
    <row r="32" ht="13.5" customHeight="1" s="63">
      <c r="B32" s="65" t="inlineStr">
        <is>
          <t>Во всех схемах обслуживается 2 334 ДХ на одной и той же геометрии сети; установленная ёмкость BoQ — магистральный кабель по позициям сводной таблицы (с запасом +10 %).</t>
        </is>
      </c>
    </row>
    <row r="34" ht="24" customHeight="1" s="63">
      <c r="B34" s="67" t="n"/>
      <c r="C34" s="67" t="inlineStr">
        <is>
          <t>Г. Волокно-км и деньги: ориентировочный индекс стоимости трёх схем</t>
        </is>
      </c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</row>
    <row r="35" ht="13.5" customHeight="1" s="63">
      <c r="B35" s="65" t="inlineStr">
        <is>
          <t>у.е. = 1 км 8-волоконного самонесущего кабеля. Цена кабеля ёмкости F принята ~ (F/8)^0,5: 96-волоконный дороже 8-волоконного в 3,0–3,5 раза (по данным рынка); дроп 2F = 0,50 у.е./км.</t>
        </is>
      </c>
    </row>
    <row r="36" ht="13.5" customHeight="1" s="63">
      <c r="B36" s="65" t="inlineStr">
        <is>
          <t>Оборудование — ориентировочные коэффициенты к стоимости км кабеля 8F: муфта 0,125; РОР-узел 0,25; сплиттер 0,045–0,22 (по типу); сварка 0,005; коннектор 0,007; порт кросса ОРШ 0,02; порт OLT 0,40; подвес 0,008. Оценка для сравнения схем, не для сметы.</t>
        </is>
      </c>
    </row>
    <row r="37" ht="27.75" customHeight="1" s="63">
      <c r="B37" s="66" t="inlineStr">
        <is>
          <t>Компонент</t>
        </is>
      </c>
      <c r="C37" s="66" t="inlineStr">
        <is>
          <t>A: централизо-ванная</t>
        </is>
      </c>
      <c r="D37" s="66" t="inlineStr">
        <is>
          <t>B: каскад 1:8+1:8</t>
        </is>
      </c>
      <c r="E37" s="66" t="inlineStr">
        <is>
          <t>C: каскад 1:4+1:16</t>
        </is>
      </c>
    </row>
    <row r="38" ht="25.5" customHeight="1" s="63">
      <c r="C38" s="69" t="inlineStr">
        <is>
          <t>Магистральный кабель (взвешенно по ёмкостям)</t>
        </is>
      </c>
      <c r="D38" s="76" t="n">
        <v>233</v>
      </c>
      <c r="E38" s="76" t="n">
        <v>107</v>
      </c>
      <c r="F38" s="76" t="n">
        <v>88.90000000000001</v>
      </c>
    </row>
    <row r="39" ht="25.5" customHeight="1" s="63">
      <c r="C39" s="73" t="inlineStr">
        <is>
          <t>Дроп-кабель</t>
        </is>
      </c>
      <c r="D39" s="78" t="n">
        <v>47.9</v>
      </c>
      <c r="E39" s="78" t="n">
        <v>85.3</v>
      </c>
      <c r="F39" s="78" t="n">
        <v>122</v>
      </c>
    </row>
    <row r="40" ht="25.5" customHeight="1" s="63">
      <c r="C40" s="69" t="inlineStr">
        <is>
          <t>Оборудование и монтаж (муфты, РОР, сплиттеры, сварки, кросс, OLT, подвесы)</t>
        </is>
      </c>
      <c r="D40" s="76" t="n">
        <v>315</v>
      </c>
      <c r="E40" s="76" t="n">
        <v>306.2</v>
      </c>
      <c r="F40" s="76" t="n">
        <v>270.8</v>
      </c>
    </row>
    <row r="41" ht="25.5" customHeight="1" s="63">
      <c r="C41" s="86" t="inlineStr">
        <is>
          <t>ИТОГО индекс стоимости, у.е.</t>
        </is>
      </c>
      <c r="D41" s="91">
        <f>SUM(D38:D40)</f>
        <v/>
      </c>
      <c r="E41" s="91">
        <f>SUM(E38:E40)</f>
        <v/>
      </c>
      <c r="F41" s="91">
        <f>SUM(F38:F40)</f>
        <v/>
      </c>
    </row>
    <row r="42" ht="21.75" customHeight="1" s="63">
      <c r="C42" s="73" t="inlineStr">
        <is>
          <t>Δ к лучшей схеме</t>
        </is>
      </c>
      <c r="D42" s="92">
        <f>D41/MIN($D$41:$F$41)-1</f>
        <v/>
      </c>
      <c r="E42" s="92">
        <f>E41/MIN($D$41:$F$41)-1</f>
        <v/>
      </c>
      <c r="F42" s="92">
        <f>F41/MIN($D$41:$F$41)-1</f>
        <v/>
      </c>
    </row>
    <row r="44" ht="27.75" customHeight="1" s="63">
      <c r="B44" s="66" t="inlineStr">
        <is>
          <t>Показатель цены k</t>
        </is>
      </c>
      <c r="C44" s="66" t="inlineStr">
        <is>
          <t>A: централизо-ванная</t>
        </is>
      </c>
      <c r="D44" s="66" t="inlineStr">
        <is>
          <t>B: каскад 1:8+1:8</t>
        </is>
      </c>
      <c r="E44" s="66" t="inlineStr">
        <is>
          <t>C: каскад 1:4+1:16</t>
        </is>
      </c>
      <c r="F44" s="66" t="inlineStr">
        <is>
          <t>Лучшая схема</t>
        </is>
      </c>
    </row>
    <row r="45" ht="19.5" customHeight="1" s="63">
      <c r="C45" s="81" t="n">
        <v>0</v>
      </c>
      <c r="D45" s="70" t="n">
        <v>520.2</v>
      </c>
      <c r="E45" s="70" t="n">
        <v>553.4</v>
      </c>
      <c r="F45" s="70" t="n">
        <v>585.9</v>
      </c>
      <c r="G45" s="68">
        <f>IF(AND(D45&lt;=E45,D45&lt;=F45),"A",IF(E45&lt;=F45,"B","C"))</f>
        <v/>
      </c>
    </row>
    <row r="46" ht="19.5" customHeight="1" s="63">
      <c r="C46" s="84" t="n">
        <v>0.3</v>
      </c>
      <c r="D46" s="74" t="n">
        <v>545.2</v>
      </c>
      <c r="E46" s="74" t="n">
        <v>510.5</v>
      </c>
      <c r="F46" s="74" t="n">
        <v>511.9</v>
      </c>
      <c r="G46" s="72">
        <f>IF(AND(D46&lt;=E46,D46&lt;=F46),"A",IF(E46&lt;=F46,"B","C"))</f>
        <v/>
      </c>
    </row>
    <row r="47" ht="19.5" customHeight="1" s="63">
      <c r="C47" s="81" t="n">
        <v>0.4</v>
      </c>
      <c r="D47" s="70" t="n">
        <v>566.3</v>
      </c>
      <c r="E47" s="70" t="n">
        <v>502.9</v>
      </c>
      <c r="F47" s="70" t="n">
        <v>495.1</v>
      </c>
      <c r="G47" s="68">
        <f>IF(AND(D47&lt;=E47,D47&lt;=F47),"A",IF(E47&lt;=F47,"B","C"))</f>
        <v/>
      </c>
    </row>
    <row r="48" ht="19.5" customHeight="1" s="63">
      <c r="C48" s="84" t="n">
        <v>0.5</v>
      </c>
      <c r="D48" s="74" t="n">
        <v>595.9</v>
      </c>
      <c r="E48" s="74" t="n">
        <v>498.6</v>
      </c>
      <c r="F48" s="74" t="n">
        <v>481.6</v>
      </c>
      <c r="G48" s="72">
        <f>IF(AND(D48&lt;=E48,D48&lt;=F48),"A",IF(E48&lt;=F48,"B","C"))</f>
        <v/>
      </c>
    </row>
    <row r="49" ht="19.5" customHeight="1" s="63">
      <c r="C49" s="81" t="n">
        <v>0.6</v>
      </c>
      <c r="D49" s="70" t="n">
        <v>635.7</v>
      </c>
      <c r="E49" s="70" t="n">
        <v>497.6</v>
      </c>
      <c r="F49" s="70" t="n">
        <v>471.3</v>
      </c>
      <c r="G49" s="68">
        <f>IF(AND(D49&lt;=E49,D49&lt;=F49),"A",IF(E49&lt;=F49,"B","C"))</f>
        <v/>
      </c>
    </row>
    <row r="50" ht="19.5" customHeight="1" s="63">
      <c r="C50" s="84" t="n">
        <v>0.7</v>
      </c>
      <c r="D50" s="74" t="n">
        <v>688</v>
      </c>
      <c r="E50" s="74" t="n">
        <v>500.1</v>
      </c>
      <c r="F50" s="74" t="n">
        <v>464</v>
      </c>
      <c r="G50" s="72">
        <f>IF(AND(D50&lt;=E50,D50&lt;=F50),"A",IF(E50&lt;=F50,"B","C"))</f>
        <v/>
      </c>
    </row>
    <row r="51" ht="19.5" customHeight="1" s="63">
      <c r="C51" s="81" t="n">
        <v>1</v>
      </c>
      <c r="D51" s="70" t="n">
        <v>955</v>
      </c>
      <c r="E51" s="70" t="n">
        <v>531.4</v>
      </c>
      <c r="F51" s="70" t="n">
        <v>459.4</v>
      </c>
      <c r="G51" s="68">
        <f>IF(AND(D51&lt;=E51,D51&lt;=F51),"A",IF(E51&lt;=F51,"B","C"))</f>
        <v/>
      </c>
    </row>
    <row r="52" ht="13.5" customHeight="1" s="63">
      <c r="B52" s="65" t="inlineStr">
        <is>
          <t>k = 0 — цена кабеля не зависит от ёмкости (критерий чистой длины); 0,5 — реалистично (√F, рынок); 1 — пропорционально волокно-км. Точка безразличия A и лучшей из каскадов: k* ≈ 0,16 — централизованная дешевле только при почти плоских ценах, что рынку не соответствует.</t>
        </is>
      </c>
    </row>
    <row r="54" ht="24" customHeight="1" s="63">
      <c r="B54" s="67" t="n"/>
      <c r="C54" s="67" t="inlineStr">
        <is>
          <t>Д. Вывод</t>
        </is>
      </c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</row>
    <row r="55" ht="36" customHeight="1" s="63">
      <c r="B55" s="105" t="inlineStr">
        <is>
          <t>Расчёт подтверждён. Независимая перепроверка (обход дерева DFS, код писался заново) воспроизвела волокно-км по всем 6 СНП точно: 4 375,1 км — столько же, сколько в сводной таблице. Сходятся и ДХ, и муфты, и длины магистрали с дропами, и ёмкости кабеля по сёлам. Ошибки в расчёте нет.</t>
        </is>
      </c>
    </row>
    <row r="56" ht="49.5" customHeight="1" s="63">
      <c r="B56" s="105" t="inlineStr">
        <is>
          <t>Причина большого волокно-км — сама архитектура: сплиттер стоит в ОРШ, и каждому абоненту выделяется собственное волокно на всей трассе до его муфты. Средняя длина маршрута волокна — 1 361 м (в Верхнеберезовке медиана 1 819 м, p90 — 2 827 м). Отсюда базовые 3 175 волокно-км (73 % итога); резерв 25 % добавляет 826 км (он же заложен и в каскадах), минимум 8 волокон на хвостах — 131 км, округление до стандартных ёмкостей — 243 км.</t>
        </is>
      </c>
    </row>
    <row r="57" ht="36" customHeight="1" s="63">
      <c r="B57" s="105" t="inlineStr">
        <is>
          <t>В каскадах волокон меньше не потому, что сеть короче, а потому, что одно волокно делится между 8–16 абонентами до РОР: 1 256 волокно-км у схемы B и 889 у C против 4 375 у A — при одинаковой геометрии сети. Волокно-км на одного абонента: 1,88 км у A против 0,54 и 0,38 км у каскадов.</t>
        </is>
      </c>
    </row>
    <row r="58" ht="63.75" customHeight="1" s="63">
      <c r="B58" s="105" t="inlineStr">
        <is>
          <t>Волокно-км — не деньги. Цена кабеля растёт примерно как корень из ёмкости, поэтому 33,8 км 96-волоконного кабеля — это не 12× стоимости 8-волоконного, а лишь ~3,5×. Ориентировочный индекс стоимости (у.е. = 1 км кабеля 8F): централизованная 596, каскад B — 499, каскад C — 482. Несмотря на минимальную суммарную длину (205,2 км) и самые короткие дропы (95,8 км), централизованная схема дороже каскада C на ~24 %: она выиграла бы только при почти плоских ценах (k* &lt; 0,16), чего на рынке нет.</t>
        </is>
      </c>
    </row>
    <row r="59" ht="49.5" customHeight="1" s="63">
      <c r="B59" s="105" t="inlineStr">
        <is>
          <t>Практические ограничения A: у ОРШ Верхнеберезовки до 972 волокон — до 11 параллельных кабелей на участке (нагрузка на опоры, ветровая нагрузка, монтаж), кросс ОРШ на 3 600 портов. Достоинства: всего 39 портов OLT (против 66 и 83), все сплиттеры в ОРШ (39 против 581 и 406 шт.), нет потерь на незаполненных портах РОР (в каскадах занято 45–55 %), подключение абонента и OTDR-диагностика — из ОРШ, без выезда к РОР.</t>
        </is>
      </c>
    </row>
    <row r="60" ht="63.75" customHeight="1" s="63">
      <c r="B60" s="105" t="inlineStr">
        <is>
          <t>Итог: по критерию «минимальная длина дропов и кабелей» централизованная схема действительно лучшая из трёх рассчитанных (205,2 км против 247,2 и 315,1 км; дропы 95,8 км), а расчёт её волокно-км верен. Но по капитальным затратам при реалистичных ценах кабеля выгоднее каскад 1:4 + 1:16 — на 19 % дешевле (482 против 596 у.е.). Выбор: минимальная длина и простота эксплуатации — централизованная; минимальная смета — каскад 1:4 + 1:16 (текущая рекомендация сохраняется).</t>
        </is>
      </c>
    </row>
    <row r="62" ht="27.75" customHeight="1" s="63">
      <c r="B62" s="66" t="inlineStr">
        <is>
          <t>k</t>
        </is>
      </c>
      <c r="C62" s="66" t="inlineStr">
        <is>
          <t>A: централизованная</t>
        </is>
      </c>
      <c r="D62" s="66" t="inlineStr">
        <is>
          <t>B: каскад 1:8+1:8</t>
        </is>
      </c>
      <c r="E62" s="66" t="inlineStr">
        <is>
          <t>C: каскад 1:4+1:16</t>
        </is>
      </c>
    </row>
    <row r="63" ht="15" customHeight="1" s="63">
      <c r="B63" s="81" t="n">
        <v>0</v>
      </c>
      <c r="C63" s="70" t="n">
        <v>520.2</v>
      </c>
      <c r="D63" s="70" t="n">
        <v>553.4</v>
      </c>
      <c r="E63" s="70" t="n">
        <v>585.9</v>
      </c>
    </row>
    <row r="64" ht="15" customHeight="1" s="63">
      <c r="B64" s="84" t="n">
        <v>0.3</v>
      </c>
      <c r="C64" s="74" t="n">
        <v>545.2</v>
      </c>
      <c r="D64" s="74" t="n">
        <v>510.5</v>
      </c>
      <c r="E64" s="74" t="n">
        <v>511.9</v>
      </c>
    </row>
    <row r="65" ht="15" customHeight="1" s="63">
      <c r="B65" s="81" t="n">
        <v>0.4</v>
      </c>
      <c r="C65" s="70" t="n">
        <v>566.3</v>
      </c>
      <c r="D65" s="70" t="n">
        <v>502.9</v>
      </c>
      <c r="E65" s="70" t="n">
        <v>495.1</v>
      </c>
    </row>
    <row r="66" ht="15" customHeight="1" s="63">
      <c r="B66" s="84" t="n">
        <v>0.5</v>
      </c>
      <c r="C66" s="74" t="n">
        <v>595.9</v>
      </c>
      <c r="D66" s="74" t="n">
        <v>498.6</v>
      </c>
      <c r="E66" s="74" t="n">
        <v>481.6</v>
      </c>
    </row>
    <row r="67" ht="15" customHeight="1" s="63">
      <c r="B67" s="81" t="n">
        <v>0.6</v>
      </c>
      <c r="C67" s="70" t="n">
        <v>635.7</v>
      </c>
      <c r="D67" s="70" t="n">
        <v>497.6</v>
      </c>
      <c r="E67" s="70" t="n">
        <v>471.3</v>
      </c>
    </row>
    <row r="68" ht="15" customHeight="1" s="63">
      <c r="B68" s="84" t="n">
        <v>0.7</v>
      </c>
      <c r="C68" s="74" t="n">
        <v>688</v>
      </c>
      <c r="D68" s="74" t="n">
        <v>500.1</v>
      </c>
      <c r="E68" s="74" t="n">
        <v>464</v>
      </c>
    </row>
    <row r="69" ht="15" customHeight="1" s="63">
      <c r="B69" s="81" t="n">
        <v>1</v>
      </c>
      <c r="C69" s="70" t="n">
        <v>955</v>
      </c>
      <c r="D69" s="70" t="n">
        <v>531.4</v>
      </c>
      <c r="E69" s="70" t="n">
        <v>459.4</v>
      </c>
    </row>
  </sheetData>
  <mergeCells count="17">
    <mergeCell ref="B35:L35"/>
    <mergeCell ref="B58:L58"/>
    <mergeCell ref="B52:L52"/>
    <mergeCell ref="G29:L29"/>
    <mergeCell ref="G30:L30"/>
    <mergeCell ref="G28:L28"/>
    <mergeCell ref="B25:L25"/>
    <mergeCell ref="B55:L55"/>
    <mergeCell ref="B59:L59"/>
    <mergeCell ref="B2:L2"/>
    <mergeCell ref="G31:L31"/>
    <mergeCell ref="B36:L36"/>
    <mergeCell ref="B60:L60"/>
    <mergeCell ref="B32:L32"/>
    <mergeCell ref="B14:L14"/>
    <mergeCell ref="B56:L56"/>
    <mergeCell ref="B57:L5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D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62" min="1" max="1"/>
    <col width="5" customWidth="1" style="62" min="2" max="2"/>
    <col width="34" customWidth="1" style="62" min="3" max="3"/>
    <col width="92" customWidth="1" style="62" min="4" max="4"/>
  </cols>
  <sheetData>
    <row r="2" ht="31.5" customHeight="1" s="63">
      <c r="B2" s="64" t="inlineStr">
        <is>
          <t>Методика расчёта и принятые допущения — каскадная схема 1:4 + 1:16</t>
        </is>
      </c>
    </row>
    <row r="3" ht="13.5" customHeight="1" s="63">
      <c r="B3" s="65" t="inlineStr">
        <is>
          <t>Расчёт выполнен по геометрии спроектированных сетей (ОРШ → муфты → ДХ) без изменения топологии: трассы, точки подключения ДХ и здания ОРШ — без изменений. Подготовлено 18.09.2026</t>
        </is>
      </c>
    </row>
    <row r="4" ht="27.75" customHeight="1" s="63">
      <c r="B4" s="66" t="inlineStr">
        <is>
          <t>№</t>
        </is>
      </c>
      <c r="C4" s="66" t="inlineStr">
        <is>
          <t>Положение</t>
        </is>
      </c>
      <c r="D4" s="66" t="inlineStr">
        <is>
          <t>Принято / описание</t>
        </is>
      </c>
    </row>
    <row r="5" ht="24" customHeight="1" s="63">
      <c r="B5" s="67" t="n"/>
      <c r="C5" s="67" t="inlineStr">
        <is>
          <t>1. Исходные данные</t>
        </is>
      </c>
      <c r="D5" s="67" t="n"/>
    </row>
    <row r="6" ht="49.5" customHeight="1" s="63">
      <c r="B6" s="140" t="n">
        <v>1</v>
      </c>
      <c r="C6" s="141" t="inlineStr">
        <is>
          <t>Геометрия сетей</t>
        </is>
      </c>
      <c r="D6" s="141" t="inlineStr">
        <is>
          <t>Проектные FTTH-сети «ОРШ → муфты → ДХ»: построены по спутниковым снимкам высокого разрешения (~0,38 м/px) с привязкой к дорожной сети OSM; дропы проложены вдоль улиц, дворов и фасадов, все ветвления — в муфтах. При пересчёте соотношения сплиттеров топология НЕ менялась.</t>
        </is>
      </c>
    </row>
    <row r="7" ht="49.5" customHeight="1" s="63">
      <c r="B7" s="142" t="n">
        <v>2</v>
      </c>
      <c r="C7" s="143" t="inlineStr">
        <is>
          <t>Состав сетей</t>
        </is>
      </c>
      <c r="D7" s="143" t="inlineStr">
        <is>
          <t>Верхнеберезовка — полная сеть села (подтверждена заказчиком, кадр не предоставлялся); Винное — полная сеть на кадре пользователя (550 ДХ, из них 5 за верхней кромкой кадра); Солнечное, Перевальное, Пригородное, Алтайский — в границах предоставленных заказчиком кадров.</t>
        </is>
      </c>
    </row>
    <row r="8" ht="36" customHeight="1" s="63">
      <c r="B8" s="140" t="n">
        <v>3</v>
      </c>
      <c r="C8" s="141" t="inlineStr">
        <is>
          <t>Число ДХ по данным заказа</t>
        </is>
      </c>
      <c r="D8" s="141" t="inlineStr">
        <is>
          <t>«СНП ВКО.xlsx», лист «Лоты 12»: 3 216 ДХ по шести СНП (Верхнеберезовка 940, Солнечное 366, Перевальное 339, Винное 490, Пригородное 365, Алтайский 716). Обслужено проектом — 2 334 ДХ (лист «Параметры сетей»).</t>
        </is>
      </c>
    </row>
    <row r="9" ht="21.75" customHeight="1" s="63">
      <c r="B9" s="142" t="n">
        <v>4</v>
      </c>
      <c r="C9" s="143" t="inlineStr">
        <is>
          <t>Длины</t>
        </is>
      </c>
      <c r="D9" s="143" t="inlineStr">
        <is>
          <t>Длины участков и дропов — по геометрии проекта с пересчётом пикселей в метры по масштабу мозаик (~0,38 м/px).</t>
        </is>
      </c>
    </row>
    <row r="10" ht="24" customHeight="1" s="63">
      <c r="B10" s="67" t="n"/>
      <c r="C10" s="67" t="inlineStr">
        <is>
          <t>2. Архитектура (каскадная схема, соотношение 1:4 + 1:16)</t>
        </is>
      </c>
      <c r="D10" s="67" t="n"/>
    </row>
    <row r="11" ht="49.5" customHeight="1" s="63">
      <c r="B11" s="140" t="n">
        <v>5</v>
      </c>
      <c r="C11" s="141" t="inlineStr">
        <is>
          <t>Схема деления</t>
        </is>
      </c>
      <c r="D11" s="141" t="inlineStr">
        <is>
          <t>GPON, двухступенчатое каскадное деление: сплиттер PLC 1×4 в ОРШ (1-я ступень) × сплиттер PLC 1×16 в РОР (2-я ступень) = 1:64. Суммарный коэффициент деления сохранён таким же, как в централизованной схеме (1:64) и в прежнем варианте каскада (1:8 × 1:8); оптический бюджет — класс B+.</t>
        </is>
      </c>
    </row>
    <row r="12" ht="63.75" customHeight="1" s="63">
      <c r="B12" s="142" t="n">
        <v>6</v>
      </c>
      <c r="C12" s="143" t="inlineStr">
        <is>
          <t>РОР</t>
        </is>
      </c>
      <c r="D12" s="143" t="inlineStr">
        <is>
          <t>Пункт распределительный оптический (бокс со сплиттером 1:16) размещается в точке магистрали (проектной муфте) и обслуживает кластер до 16 ДХ в радиусе 150 м по трассе сети. Всего 323 РОР на 6 СНП (в варианте 1:8 + 1:8 — 515); среднее 7,2 ДХ на РОР; среднее заполнение портов 45 % (37–51 % по сёлам) — типично для сельской плотности застройки (~2 ДХ на муфту по проекту).</t>
        </is>
      </c>
    </row>
    <row r="13" ht="49.5" customHeight="1" s="63">
      <c r="B13" s="140" t="n">
        <v>7</v>
      </c>
      <c r="C13" s="141" t="inlineStr">
        <is>
          <t>Дроп-линия</t>
        </is>
      </c>
      <c r="D13" s="141" t="inlineStr">
        <is>
          <t>От РОР к каждому ДХ — индивидуальный 2-волоконный дроп-кабель (1 рабочее + 1 резервное волокно). Участок «РОР → точка подключения ДХ» прокладывается дроп-кабелем по трассе магистрали: средняя подводка +61 м на ДХ (максимум 150 м), суммарно 141,3 км. Максимальная суммарная дроп-линия — 266 м.</t>
        </is>
      </c>
    </row>
    <row r="14" ht="36" customHeight="1" s="63">
      <c r="B14" s="142" t="n">
        <v>8</v>
      </c>
      <c r="C14" s="143" t="inlineStr">
        <is>
          <t>Сплиттеры 1-й ступени</t>
        </is>
      </c>
      <c r="D14" s="143" t="inlineStr">
        <is>
          <t>PLC 1×4 в ОРШ: 83 шт на 6 СНП (по каждому селу — сплиттеры 2-й ступени / 4, округление вверх); каждый питает до 4 РОР.</t>
        </is>
      </c>
    </row>
    <row r="15" ht="24" customHeight="1" s="63">
      <c r="B15" s="67" t="n"/>
      <c r="C15" s="67" t="inlineStr">
        <is>
          <t>3. Кабельная продукция</t>
        </is>
      </c>
      <c r="D15" s="67" t="n"/>
    </row>
    <row r="16" ht="49.5" customHeight="1" s="63">
      <c r="B16" s="140" t="n">
        <v>9</v>
      </c>
      <c r="C16" s="141" t="inlineStr">
        <is>
          <t>Магистральный кабель</t>
        </is>
      </c>
      <c r="D16" s="141" t="inlineStr">
        <is>
          <t>Самонесущий оптический кабель для воздушной прокладки по существующим опорам; ёмкости 8 / 12 / 16 / 24 / 32 / 48 / 64 / 72 / 96 волокон. При потребности свыше 96 волокон — параллельная прокладка кабелей меньшей ёмкости (верхние ярусы дерева).</t>
        </is>
      </c>
    </row>
    <row r="17" ht="49.5" customHeight="1" s="63">
      <c r="B17" s="142" t="n">
        <v>10</v>
      </c>
      <c r="C17" s="143" t="inlineStr">
        <is>
          <t>Число волокон на участке</t>
        </is>
      </c>
      <c r="D17" s="143" t="inlineStr">
        <is>
          <t>Сплиттеры 2-й ступени ниже по потоку × 1,25 (резерв 25 % на развитие), минимум 8 волокон (минимальная серийная ёмкость). Верхний участок — 128 волокон (Верхнеберезовка, до 2 параллельных кабелей у ОРШ); кабели ёмкостью более 48 волокон требуются только вблизи ОРШ крупных сёл.</t>
        </is>
      </c>
    </row>
    <row r="18" ht="21.75" customHeight="1" s="63">
      <c r="B18" s="140" t="n">
        <v>11</v>
      </c>
      <c r="C18" s="141" t="inlineStr">
        <is>
          <t>Запас на монтаж</t>
        </is>
      </c>
      <c r="D18" s="141" t="inlineStr">
        <is>
          <t>+10 % к расчётной длине магистрали и +5 % к дроп-кабелю; округление вверх до 0,1 км.</t>
        </is>
      </c>
    </row>
    <row r="19" ht="36" customHeight="1" s="63">
      <c r="B19" s="142" t="n">
        <v>12</v>
      </c>
      <c r="C19" s="143" t="inlineStr">
        <is>
          <t>Справочно</t>
        </is>
      </c>
      <c r="D19" s="143" t="inlineStr">
        <is>
          <t>Суммарная расчётная ёмкость магистрали по шести СНП — 889 волокно-км (в централизованной схеме — 4 375; в каскаде 1:8 + 1:8 — 1 256 волокно-км).</t>
        </is>
      </c>
    </row>
    <row r="20" ht="24" customHeight="1" s="63">
      <c r="B20" s="67" t="n"/>
      <c r="C20" s="67" t="inlineStr">
        <is>
          <t>4. Узлы и монтажные нормы</t>
        </is>
      </c>
      <c r="D20" s="67" t="n"/>
    </row>
    <row r="21" ht="49.5" customHeight="1" s="63">
      <c r="B21" s="140" t="n">
        <v>13</v>
      </c>
      <c r="C21" s="141" t="inlineStr">
        <is>
          <t>Муфты</t>
        </is>
      </c>
      <c r="D21" s="141" t="inlineStr">
        <is>
          <t>Только узлы ветвления магистрали (100 шт по шести СНП): участки без ветвлений выполняются неразрезным кабелем, транзитные волокна не сращиваются. РОР учитываются отдельной позицией; смена ёмкости кабеля совмещается с РОР и муфтами ветвления.</t>
        </is>
      </c>
    </row>
    <row r="22" ht="49.5" customHeight="1" s="63">
      <c r="B22" s="142" t="n">
        <v>14</v>
      </c>
      <c r="C22" s="143" t="inlineStr">
        <is>
          <t>ОРШ</t>
        </is>
      </c>
      <c r="D22" s="143" t="inlineStr">
        <is>
          <t>1 на СНП, на общественном/административном здании в центре села (лист «Параметры сетей»). Расчётная ёмкость портов — 1,1 × волокна, уходящие к РОР, с округлением вверх до ряда 144 / 288 / 576 / 864 / 1152: суммарно 864 порта (у всех шести СНП — по 144) против 1 008 в каскаде 1:8 + 1:8 и 3 600 в централизованной схеме.</t>
        </is>
      </c>
    </row>
    <row r="23" ht="63.75" customHeight="1" s="63">
      <c r="B23" s="140" t="n">
        <v>15</v>
      </c>
      <c r="C23" s="141" t="inlineStr">
        <is>
          <t>Сварные соединения</t>
        </is>
      </c>
      <c r="D23" s="141" t="inlineStr">
        <is>
          <t>Оценка: пигтейли кросса ОРШ + входы сплиттеров РОР + ответвления и смены ёмкости кабеля в узлах, с запасом 10 %. Гильзы КДЗС — по числу сварок. В каскадной схеме дропы к сварке не подключаются (механические коннекторы) — объём сварок в 1,7 раза меньше каскада 1:8 + 1:8 (1 552 против 2 585) и в 3,3 раза меньше централизованной схемы (5 136).</t>
        </is>
      </c>
    </row>
    <row r="24" ht="36" customHeight="1" s="63">
      <c r="B24" s="142" t="n">
        <v>16</v>
      </c>
      <c r="C24" s="143" t="inlineStr">
        <is>
          <t>Коннекторы</t>
        </is>
      </c>
      <c r="D24" s="143" t="inlineStr">
        <is>
          <t>Механические SC/UPC: 2 на ДХ (выход сплиттера в РОР + абонентский бокс), запас 10 %. Дроп-подводки РОР→ДХ крепятся по опорам (30 компл./км), вводы в здания — скобами/хомутами (6 точек на ДХ).</t>
        </is>
      </c>
    </row>
    <row r="25" ht="36" customHeight="1" s="63">
      <c r="B25" s="140" t="n">
        <v>17</v>
      </c>
      <c r="C25" s="141" t="inlineStr">
        <is>
          <t>Подвес магистрали</t>
        </is>
      </c>
      <c r="D25" s="141" t="inlineStr">
        <is>
          <t>30 комплектов (кронштейн + спиральный зажим) на 1 км уложенного кабеля; шаг промежуточных креплений ~35 м. Новые опоры не предусмотрены — существующие опорные конструкции.</t>
        </is>
      </c>
    </row>
    <row r="26" ht="21.75" customHeight="1" s="63">
      <c r="B26" s="142" t="n">
        <v>18</v>
      </c>
      <c r="C26" s="143" t="inlineStr">
        <is>
          <t>Крепёж дропа</t>
        </is>
      </c>
      <c r="D26" s="143" t="inlineStr">
        <is>
          <t>2 анкерных зажима (у РОР/муфты и у стены здания) и 6 промежуточных креплений (скобы/хомуты) на одно ДХ.</t>
        </is>
      </c>
    </row>
    <row r="27" ht="24" customHeight="1" s="63">
      <c r="B27" s="67" t="n"/>
      <c r="C27" s="67" t="inlineStr">
        <is>
          <t>5. Прочее</t>
        </is>
      </c>
      <c r="D27" s="67" t="n"/>
    </row>
    <row r="28" ht="49.5" customHeight="1" s="63">
      <c r="B28" s="140" t="n">
        <v>19</v>
      </c>
      <c r="C28" s="141" t="inlineStr">
        <is>
          <t>Активное оборудование</t>
        </is>
      </c>
      <c r="D28" s="141" t="inlineStr">
        <is>
          <t>Порты PON OLT — 83 (справочно; в каскаде 1:8 + 1:8 — 66, в централизованной схеме — 39): следствие более дробного деления 1-й ступени при заполнении портов сплиттеров менее 100 %. Модель, резервирование и комплектацию уточняет заказчик.</t>
        </is>
      </c>
    </row>
    <row r="29" ht="36" customHeight="1" s="63">
      <c r="B29" s="142" t="n">
        <v>20</v>
      </c>
      <c r="C29" s="143" t="inlineStr">
        <is>
          <t>Сравнение схем</t>
        </is>
      </c>
      <c r="D29" s="143" t="inlineStr">
        <is>
          <t>Количественное сравнение трёх схем деления (централизованная 1:64; каскад 1:8 + 1:8; каскад 1:4 + 1:16) по всем позициям — лист «Сравнение схем».</t>
        </is>
      </c>
    </row>
    <row r="30" ht="36" customHeight="1" s="63">
      <c r="B30" s="140" t="n">
        <v>21</v>
      </c>
      <c r="C30" s="141" t="inlineStr">
        <is>
          <t>За рамками расчёта</t>
        </is>
      </c>
      <c r="D30" s="141" t="inlineStr">
        <is>
          <t>Строительство или аренда опор, заземление, оборудование абонентов (ONT), СМР, накладные и транспортные расходы.</t>
        </is>
      </c>
    </row>
    <row r="31" ht="24" customHeight="1" s="63">
      <c r="B31" s="67" t="n"/>
      <c r="C31" s="67" t="inlineStr">
        <is>
          <t>6. Оптимизация по длине кабельной продукции</t>
        </is>
      </c>
      <c r="D31" s="67" t="n"/>
    </row>
    <row r="32" ht="49.5" customHeight="1" s="63">
      <c r="B32" s="142" t="n">
        <v>22</v>
      </c>
      <c r="C32" s="143" t="inlineStr">
        <is>
          <t>Критерий</t>
        </is>
      </c>
      <c r="D32" s="143" t="inlineStr">
        <is>
          <t>Минимальная суммарная длина закупаемой кабельной продукции: дроп-кабель (запас 5 %) + магистральный кабель по всем ёмкостям (запас 10 %), км. Контрольный показатель — волокно-км (материалоёмкость магистрали, прокси её стоимости). Количественный анализ — лист «Оптимум по длине».</t>
        </is>
      </c>
    </row>
    <row r="33" ht="49.5" customHeight="1" s="63">
      <c r="B33" s="140" t="n">
        <v>23</v>
      </c>
      <c r="C33" s="141" t="inlineStr">
        <is>
          <t>Метод</t>
        </is>
      </c>
      <c r="D33" s="141" t="inlineStr">
        <is>
          <t>Параметрический перебор размещения РОР: радиус кластера 0–250 м × ёмкость 8/16 ДХ (та же модель кластеризации, топология сетей не менялась). Соотношение сплиттеров на длины не влияет: длины определяются только размещением РОР — чем крупнее кластеры, тем короче магистраль и меньше волокно-км, но длиннее дроп-подводки РОР→ДХ.</t>
        </is>
      </c>
    </row>
    <row r="34" ht="78" customHeight="1" s="63">
      <c r="B34" s="142" t="n">
        <v>24</v>
      </c>
      <c r="C34" s="143" t="inlineStr">
        <is>
          <t>Результат</t>
        </is>
      </c>
      <c r="D34" s="143" t="inlineStr">
        <is>
          <t>Суммарная длина монотонно растёт с радиусом РОР: от 185,1 км (R=0, РОР в каждой муфте) до 416,8 км (R=250 м); волокно-км монотонно падает: от 2 134 до 717. Оптимум по длине — радиус 0–50 м (185–191 км); оптимум по материалоёмкости магистрали — радиус 150–250 м (889–717 волокно-км). Среди трёх рассчитанных схем минимальная суммарная длина у централизованной (205,2 км), однако она уступает мелкорадиусному каскаду по всем кабельным метрикам.</t>
        </is>
      </c>
    </row>
    <row r="35" ht="63.75" customHeight="1" s="63">
      <c r="B35" s="140" t="n">
        <v>25</v>
      </c>
      <c r="C35" s="141" t="inlineStr">
        <is>
          <t>Рекомендация</t>
        </is>
      </c>
      <c r="D35" s="141" t="inlineStr">
        <is>
          <t>При приоритете минимальной длины дропов и кабелей — каскад 1:8 + 1:8 с радиусом РОР 50 м: 191,2 км (дропы 104,6 км, магистраль 86,6 км, волокно-км 1 886, РОР 873, сварки 4 578). При приоритете стоимости магистрали и минимума пассивных узлов — принятая схема 1:4 + 1:16 (R=150 м). Пересчёт сводной таблицы под выбранный вариант — по подтверждению заказчика.</t>
        </is>
      </c>
    </row>
    <row r="36" ht="24" customHeight="1" s="63">
      <c r="B36" s="67" t="n"/>
      <c r="C36" s="67" t="inlineStr">
        <is>
          <t>7. Проверка волокно-км централизованной схемы</t>
        </is>
      </c>
      <c r="D36" s="67" t="n"/>
    </row>
    <row r="37" ht="49.5" customHeight="1" s="63">
      <c r="B37" s="142" t="n">
        <v>26</v>
      </c>
      <c r="C37" s="143" t="inlineStr">
        <is>
          <t>Перепроверка</t>
        </is>
      </c>
      <c r="D37" s="143" t="inlineStr">
        <is>
          <t>Показатель волокно-км централизованной схемы (4 375,1 км) подтверждён независимой перепроверкой (обход дерева DFS, отдельный код): по всем 6 СНП значения книги и пересчёта совпадают; также сверены ДХ, муфты, длины магистрали и дропов, ёмкости кабеля. Лист «Проверка волокно-км», блок А.</t>
        </is>
      </c>
    </row>
    <row r="38" ht="63.75" customHeight="1" s="63">
      <c r="B38" s="140" t="n">
        <v>27</v>
      </c>
      <c r="C38" s="141" t="inlineStr">
        <is>
          <t>Причина</t>
        </is>
      </c>
      <c r="D38" s="141" t="inlineStr">
        <is>
          <t>Волокно-км велик из-за архитектуры: каждому ДХ выделяется собственное волокно на всей трассе ОРШ -&gt; муфта (в среднем 1 361 м, медиана до 1 819 м, p90 до 2 827 м). Декомпозиция: база 3 175 км (73 %) + резерв 25 % (826 км) + минимум 8 волокон (131 км) + стандартные ёмкости (243 км). В каскадах ёмкость участка задаётся числом РОР, поэтому волокон в 3,5–4,9 раза меньше.</t>
        </is>
      </c>
    </row>
    <row r="39" ht="49.5" customHeight="1" s="63">
      <c r="B39" s="142" t="n">
        <v>28</v>
      </c>
      <c r="C39" s="143" t="inlineStr">
        <is>
          <t>Индекс стоимости</t>
        </is>
      </c>
      <c r="D39" s="143" t="inlineStr">
        <is>
          <t>волокно-км — не стоимость: цена кабеля растёт ~ √F (96F в 3,0–3,5 раза дороже 8F). Ориентировочный индекс (у.е. = 1 км кабеля 8F, цена ~ (F/8)^0,5, оборудование по коэффициентам): централизованная 596, каскад 1:8+1:8 — 499, каскад 1:4+1:16 — 482 у.е. Оценка для сравнения схем, не для сметы.</t>
        </is>
      </c>
    </row>
    <row r="40" ht="49.5" customHeight="1" s="63">
      <c r="B40" s="140" t="n">
        <v>29</v>
      </c>
      <c r="C40" s="141" t="inlineStr">
        <is>
          <t>Чувствительность</t>
        </is>
      </c>
      <c r="D40" s="141" t="inlineStr">
        <is>
          <t>При k = 0 (цена не зависит от ёмкости) дешевле централизованная (520 у.е.); при реалистичных k &gt;= 0,3 — каскады; точка безразличия k* ≈ 0,16. При k = 1 (пропорционально волокно-км) централизованная 955 против 459 у.е. у схемы C.</t>
        </is>
      </c>
    </row>
    <row r="41" ht="63.75" customHeight="1" s="63">
      <c r="B41" s="142" t="n">
        <v>30</v>
      </c>
      <c r="C41" s="143" t="inlineStr">
        <is>
          <t>Вывод</t>
        </is>
      </c>
      <c r="D41" s="143" t="inlineStr">
        <is>
          <t>Централизованная схема лучшая по длине (205,2 км; дропы 95,8 км) и удобна в эксплуатации (39 портов OLT, сплиттеры только в ОРШ), но при реалистичных ценах кабеля дороже каскада 1:4+1:16 на ~24 % (каскад дешевле на 19 %). Рекомендация сохраняется: каскад 1:4+1:16 — по стоимости; централизованная — при приоритете длины и эксплуатации.</t>
        </is>
      </c>
    </row>
    <row r="42" ht="24" customHeight="1" s="63">
      <c r="B42" s="108" t="n"/>
      <c r="C42" s="108" t="inlineStr">
        <is>
          <t>8. Децентрализованная схема (зонные ОРШ, единый узел OLT)</t>
        </is>
      </c>
      <c r="D42" s="108" t="n"/>
    </row>
    <row r="43" ht="64" customHeight="1" s="63">
      <c r="B43" s="144" t="n">
        <v>31</v>
      </c>
      <c r="C43" s="110" t="inlineStr">
        <is>
          <t>Принцип</t>
        </is>
      </c>
      <c r="D43" s="110" t="inlineStr">
        <is>
          <t>По предложению пользователя рассчитана децентрализованная схема D: в селе несколько ОРШ вместо одного. Дерево сети (топология, муфты, дропы) не меняется; сплиттеры 1:64 переносятся из ОРШ ЦУ в зонные шкафы, устанавливаемые в центрах секторов (медианах деревьев зон). Единый узел OLT: одна станция, фидер заходит в ЦУ села и расходится по зонам по кратчайшим трассам дорожного графа в границе НП (межселённый транспорт — за рамками расчёта).</t>
        </is>
      </c>
    </row>
    <row r="44" ht="78" customHeight="1" s="63">
      <c r="B44" s="145" t="n">
        <v>32</v>
      </c>
      <c r="C44" s="109" t="inlineStr">
        <is>
          <t>Разбиение на зоны</t>
        </is>
      </c>
      <c r="D44" s="109" t="inlineStr">
        <is>
          <t>Жадный алгоритм: кандидаты — муфты ветвления с потоком не менее 48 ДХ (заполнение сплиттера 1:64 не менее 75%); на каждом шаге принимается врез с максимальной маржинальной экономией волокно-км (точный пересчёт полной раскладки с медианами); врез отклоняется, если экономия ниже порога S_MIN. Рекомендовано S_MIN = 15 волокно-км: 28 зон + 6 ЦУ = 34 ОРШ. Контроль: без врезов модель воспроизводит централизованную книгу точно (4 375,1 волокно-км); v3 с медианами = врезам воспроизводит v2 точно.</t>
        </is>
      </c>
    </row>
    <row r="45" ht="50" customHeight="1" s="63">
      <c r="B45" s="144" t="n">
        <v>33</v>
      </c>
      <c r="C45" s="110" t="inlineStr">
        <is>
          <t>Волокна участков</t>
        </is>
      </c>
      <c r="D45" s="110" t="inlineStr">
        <is>
          <t>Распределительные волокна зоны (от ОРШ-медианы): F = max(8; ceil(1,25 x ДХ потока зоны)). Фидерные волокна: ceil(1,25 x сплиттеры зоны) — на участках кратчайшего пути ЦУ -&gt; зонный ОРШ (Дейкстра в границе НП); на общих с деревом участках едут в одном кабеле, вне дерева — отдельный кабель &gt;= 8 волокон. Разложение 8-96.</t>
        </is>
      </c>
    </row>
    <row r="46" ht="50" customHeight="1" s="63">
      <c r="B46" s="145" t="n">
        <v>34</v>
      </c>
      <c r="C46" s="109" t="inlineStr">
        <is>
          <t>Оборудование зон</t>
        </is>
      </c>
      <c r="D46" s="109" t="inlineStr">
        <is>
          <t>Зонный ОРШ: уличный шкаф с кроссом 48/96/144/288/576 портов (порты = 1,1 x ДХ зоны), сплиттеры 1:64 ceil(ДХ зоны / 64), устанавливается в центре сектора (медиане дерева зоны — минимуме распределительных волокон плюс фидер). ЦУ — обычный ряд 144-1152 портов, обслуживает корневую зону.</t>
        </is>
      </c>
    </row>
    <row r="47" ht="50" customHeight="1" s="63">
      <c r="B47" s="144" t="n">
        <v>35</v>
      </c>
      <c r="C47" s="110" t="inlineStr">
        <is>
          <t>Нормы</t>
        </is>
      </c>
      <c r="D47" s="110" t="inlineStr">
        <is>
          <t>Сварки = (2 x ДХ + 2 x фидерные волокна активные) x 1,1; пигтейли = ДХ + 2 x сплиттеры; дропы +5%, магистраль +10%, подвесы 30/км — как во всей книге. Доп. шкафы ОРШ — отдельная строка стоимости (1,5 у.е. = ~1,5 км кабеля 8F с монтажом).</t>
        </is>
      </c>
    </row>
    <row r="48" ht="64" customHeight="1" s="63">
      <c r="B48" s="145" t="n">
        <v>36</v>
      </c>
      <c r="C48" s="109" t="inlineStr">
        <is>
          <t>Результат</t>
        </is>
      </c>
      <c r="D48" s="109" t="inlineStr">
        <is>
          <t>D v3 (S_MIN = 15): волокно-км 1 347,3 (-69% к A; -13,8% к v1 1 562,5); магистраль 87,2 км; дропы 95,8 км; ВСЕГО 183,0 км — минимум среди всех схем книги; 49 сплиттеров 1:64; сварки 5 244; порты ОРШ 3 696; OLT 49; макс. ёмкость 92F, параллельных кабелей нет. Индекс 524 у.е. с шкафами (A 596, B 499, C 482). По волокну и эксплуатации D — лучшая; по смете — вторая после каскада 1:4+1:16.</t>
        </is>
      </c>
    </row>
    <row r="49" ht="24" customHeight="1" s="63">
      <c r="B49" s="108" t="n"/>
      <c r="C49" s="108" t="inlineStr">
        <is>
          <t>9. Сводная материалов и карты зон схемы D</t>
        </is>
      </c>
      <c r="D49" s="108" t="n"/>
    </row>
    <row r="50" ht="64" customHeight="1" s="63">
      <c r="B50" s="144" t="n">
        <v>37</v>
      </c>
      <c r="C50" s="110" t="inlineStr">
        <is>
          <t>Состав позиций</t>
        </is>
      </c>
      <c r="D50" s="110" t="inlineStr">
        <is>
          <t>Лист «Сводная (схема D)» повторяет формат сводной схемы C: 4 секции, 24 позиции, графы шести СНП и ИТОГО (формулы SUM). Отличия от каскадной схемы: нет РОР и сплиттеров 2-й ступени; добавлены зонные уличные шкафы (26 шт.) отдельной позицией; дроп-кабель без подводок РОР→ДХ (95,8 км — как в централизованной, дроп идёт от муфты напрямую); коннекторы 1,1 × ДХ.</t>
        </is>
      </c>
    </row>
    <row r="51" ht="78" customHeight="1" s="63">
      <c r="B51" s="145" t="n">
        <v>38</v>
      </c>
      <c r="C51" s="109" t="inlineStr">
        <is>
          <t>Нормы схемы D</t>
        </is>
      </c>
      <c r="D51" s="109" t="inlineStr">
        <is>
          <t>Волокна участка = распределительные max(8; ceil(1,25 × ДХ потока зоны)) от ОРШ-медианы + фидерные ceil(1,25 × сплиттеры зоны) на кратчайшем пути ЦУ → зонный ОРШ (Дейкстра в границе НП); разложение 8-96 волокон. Сварки = (2 × ДХ + 2 × сплиттеры 1:64) × 1,1; пигтейли = ДХ + 2 × сплиттеры; подвесы 30/км магистрали. Ёмкости и длины кабелей — из расчёта топологии v4 (boq_decentral_data_v4.json: уточнённая детекция ДХ — сблокированные дома по крышам/заборам, квартиры многоэтажек), инварианты к схемам A/B/C по ДХ, дропам и трассе соблюдены.</t>
        </is>
      </c>
    </row>
    <row r="52" ht="78" customHeight="1" s="63">
      <c r="B52" s="144" t="n">
        <v>39</v>
      </c>
      <c r="C52" s="110" t="inlineStr">
        <is>
          <t>Карты зон ОРШ</t>
        </is>
      </c>
      <c r="D52" s="110" t="inlineStr">
        <is>
          <t>Шесть карт download/snp_vko/&lt;NN&gt;_&lt;СНП&gt;_зоны_ОРШ_схема_D.jpg (спутник Google z18): цветная зона каждого ОРШ — оболочка обслуживаемых ДХ; ствол сети — серым; распределительная сеть зоны — цветом зоны; фидер ЦУ → зонный ОРШ — пунктиром цвета зоны по кратчайшей трассе; граница НП — белым пунктиром; дропы — жёлтым; муфты — бирюзовые квадраты; зонные ОРШ — цветные шкафы в центрах секторов с подписью «ОРШ-N, N ДХ»; ЦУ — красная звезда. Совмещение сети со спутником проверено (NCC 0 px, визуальный контроль).</t>
        </is>
      </c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language xmlns:dc="http://purl.org/dc/elements/1.1/">en-US</dc:language>
  <dcterms:created xmlns:dcterms="http://purl.org/dc/terms/" xmlns:xsi="http://www.w3.org/2001/XMLSchema-instance" xsi:type="dcterms:W3CDTF">2026-09-18T00:13:14Z</dcterms:created>
  <dcterms:modified xmlns:dcterms="http://purl.org/dc/terms/" xmlns:xsi="http://www.w3.org/2001/XMLSchema-instance" xsi:type="dcterms:W3CDTF">2026-09-25T08:52:18Z</dcterms:modified>
  <cp:revision>18</cp:revision>
</cp:coreProperties>
</file>