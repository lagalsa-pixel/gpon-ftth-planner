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ОРШ'!C71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ОРШ'!$B$72:$B$83</f>
            </numRef>
          </cat>
          <val>
            <numRef>
              <f>'Децентрализация ОРШ'!$C$72:$C$83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ОРШ'!D71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ОРШ'!$D$72:$D$83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70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229" t="n">
        <v>1</v>
      </c>
      <c r="C6" s="112" t="inlineStr">
        <is>
          <t>Шкаф оптический распределительный (ОРШ) центральный — в здании ЦУ</t>
        </is>
      </c>
      <c r="D6" s="229" t="inlineStr">
        <is>
          <t>шт</t>
        </is>
      </c>
      <c r="E6" s="112" t="inlineStr">
        <is>
          <t>1 на СНП (здание по проекту)</t>
        </is>
      </c>
      <c r="F6" s="220" t="n">
        <v>1</v>
      </c>
      <c r="G6" s="220" t="n">
        <v>1</v>
      </c>
      <c r="H6" s="220" t="n">
        <v>1</v>
      </c>
      <c r="I6" s="220" t="n">
        <v>1</v>
      </c>
      <c r="J6" s="220" t="n">
        <v>1</v>
      </c>
      <c r="K6" s="220" t="n">
        <v>1</v>
      </c>
      <c r="L6" s="146">
        <f>SUM(F6:K6)</f>
        <v/>
      </c>
    </row>
    <row r="7" ht="24" customHeight="1" s="63">
      <c r="B7" s="230" t="n">
        <v>2</v>
      </c>
      <c r="C7" s="114" t="inlineStr">
        <is>
          <t>Шкаф зонный ОРШ уличный (под сплиттеры 1:64)</t>
        </is>
      </c>
      <c r="D7" s="230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221" t="n">
        <v>10</v>
      </c>
      <c r="G7" s="221" t="n"/>
      <c r="H7" s="221" t="n">
        <v>4</v>
      </c>
      <c r="I7" s="221" t="n">
        <v>8</v>
      </c>
      <c r="J7" s="221" t="n">
        <v>3</v>
      </c>
      <c r="K7" s="221" t="n">
        <v>3</v>
      </c>
      <c r="L7" s="147">
        <f>SUM(F7:K7)</f>
        <v/>
      </c>
    </row>
    <row r="8" ht="24" customHeight="1" s="63">
      <c r="B8" s="229" t="n">
        <v>3</v>
      </c>
      <c r="C8" s="112" t="inlineStr">
        <is>
          <t>Сплиттер PLC 1×64 (в ОРШ: ЦУ и зонных)</t>
        </is>
      </c>
      <c r="D8" s="229" t="inlineStr">
        <is>
          <t>шт</t>
        </is>
      </c>
      <c r="E8" s="112" t="inlineStr">
        <is>
          <t>ceil(ДХ зоны / 64), заполнение 75-100%</t>
        </is>
      </c>
      <c r="F8" s="220" t="n">
        <v>21</v>
      </c>
      <c r="G8" s="220" t="n">
        <v>2</v>
      </c>
      <c r="H8" s="220" t="n">
        <v>7</v>
      </c>
      <c r="I8" s="220" t="n">
        <v>14</v>
      </c>
      <c r="J8" s="220" t="n">
        <v>7</v>
      </c>
      <c r="K8" s="220" t="n">
        <v>7</v>
      </c>
      <c r="L8" s="146">
        <f>SUM(F8:K8)</f>
        <v/>
      </c>
    </row>
    <row r="9" ht="24" customHeight="1" s="63">
      <c r="B9" s="230" t="n">
        <v>4</v>
      </c>
      <c r="C9" s="114" t="inlineStr">
        <is>
          <t>Пигтейль SC/UPC для кросса ОРШ</t>
        </is>
      </c>
      <c r="D9" s="230" t="inlineStr">
        <is>
          <t>шт</t>
        </is>
      </c>
      <c r="E9" s="114" t="inlineStr">
        <is>
          <t>ДХ + 2 × сплиттеры 1:64</t>
        </is>
      </c>
      <c r="F9" s="221" t="n">
        <v>1071</v>
      </c>
      <c r="G9" s="221" t="n">
        <v>128</v>
      </c>
      <c r="H9" s="221" t="n">
        <v>390</v>
      </c>
      <c r="I9" s="221" t="n">
        <v>650</v>
      </c>
      <c r="J9" s="221" t="n">
        <v>300</v>
      </c>
      <c r="K9" s="221" t="n">
        <v>342</v>
      </c>
      <c r="L9" s="147">
        <f>SUM(F9:K9)</f>
        <v/>
      </c>
    </row>
    <row r="10" ht="24" customHeight="1" s="63">
      <c r="B10" s="229" t="n">
        <v>5</v>
      </c>
      <c r="C10" s="112" t="inlineStr">
        <is>
          <t>Порт PON OLT — справочно (активное оборудование, единый узел OLT)</t>
        </is>
      </c>
      <c r="D10" s="229" t="inlineStr">
        <is>
          <t>шт</t>
        </is>
      </c>
      <c r="E10" s="112" t="inlineStr">
        <is>
          <t>по числу сплиттеров 1:64</t>
        </is>
      </c>
      <c r="F10" s="220" t="n">
        <v>21</v>
      </c>
      <c r="G10" s="220" t="n">
        <v>2</v>
      </c>
      <c r="H10" s="220" t="n">
        <v>7</v>
      </c>
      <c r="I10" s="220" t="n">
        <v>14</v>
      </c>
      <c r="J10" s="220" t="n">
        <v>7</v>
      </c>
      <c r="K10" s="220" t="n">
        <v>7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229" t="n">
        <v>6</v>
      </c>
      <c r="C12" s="112" t="inlineStr">
        <is>
          <t>Кабель оптический самонесущий, 8 волокон</t>
        </is>
      </c>
      <c r="D12" s="229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222" t="n">
        <v>15.4</v>
      </c>
      <c r="G12" s="222" t="n">
        <v>2.6</v>
      </c>
      <c r="H12" s="222" t="n">
        <v>5.5</v>
      </c>
      <c r="I12" s="222" t="n">
        <v>9.4</v>
      </c>
      <c r="J12" s="222" t="n">
        <v>4.3</v>
      </c>
      <c r="K12" s="222" t="n">
        <v>5.2</v>
      </c>
      <c r="L12" s="148">
        <f>SUM(F12:K12)</f>
        <v/>
      </c>
    </row>
    <row r="13" ht="24" customHeight="1" s="63">
      <c r="B13" s="230" t="n">
        <v>7</v>
      </c>
      <c r="C13" s="114" t="inlineStr">
        <is>
          <t>Кабель оптический самонесущий, 12 волокон</t>
        </is>
      </c>
      <c r="D13" s="230" t="inlineStr">
        <is>
          <t>км</t>
        </is>
      </c>
      <c r="E13" s="114" t="inlineStr">
        <is>
          <t>то же</t>
        </is>
      </c>
      <c r="F13" s="224" t="n">
        <v>3</v>
      </c>
      <c r="G13" s="224" t="n">
        <v>0.4</v>
      </c>
      <c r="H13" s="224" t="n">
        <v>1.3</v>
      </c>
      <c r="I13" s="224" t="n">
        <v>2.3</v>
      </c>
      <c r="J13" s="224" t="n">
        <v>0.4</v>
      </c>
      <c r="K13" s="224" t="n">
        <v>1.1</v>
      </c>
      <c r="L13" s="149">
        <f>SUM(F13:K13)</f>
        <v/>
      </c>
    </row>
    <row r="14" ht="24" customHeight="1" s="63">
      <c r="B14" s="229" t="n">
        <v>8</v>
      </c>
      <c r="C14" s="112" t="inlineStr">
        <is>
          <t>Кабель оптический самонесущий, 16 волокон</t>
        </is>
      </c>
      <c r="D14" s="229" t="inlineStr">
        <is>
          <t>км</t>
        </is>
      </c>
      <c r="E14" s="112" t="inlineStr">
        <is>
          <t>то же</t>
        </is>
      </c>
      <c r="F14" s="222" t="n">
        <v>1.8</v>
      </c>
      <c r="G14" s="222" t="n">
        <v>0.4</v>
      </c>
      <c r="H14" s="222" t="n">
        <v>0.9</v>
      </c>
      <c r="I14" s="222" t="n">
        <v>1.7</v>
      </c>
      <c r="J14" s="222" t="n">
        <v>0.7</v>
      </c>
      <c r="K14" s="222" t="n">
        <v>0.9</v>
      </c>
      <c r="L14" s="148">
        <f>SUM(F14:K14)</f>
        <v/>
      </c>
    </row>
    <row r="15" ht="24" customHeight="1" s="63">
      <c r="B15" s="230" t="n">
        <v>9</v>
      </c>
      <c r="C15" s="114" t="inlineStr">
        <is>
          <t>Кабель оптический самонесущий, 24 волокна</t>
        </is>
      </c>
      <c r="D15" s="230" t="inlineStr">
        <is>
          <t>км</t>
        </is>
      </c>
      <c r="E15" s="114" t="inlineStr">
        <is>
          <t>то же</t>
        </is>
      </c>
      <c r="F15" s="224" t="n">
        <v>4</v>
      </c>
      <c r="G15" s="224" t="n">
        <v>0.8</v>
      </c>
      <c r="H15" s="224" t="n">
        <v>1.7</v>
      </c>
      <c r="I15" s="224" t="n">
        <v>2.4</v>
      </c>
      <c r="J15" s="224" t="n">
        <v>1.4</v>
      </c>
      <c r="K15" s="224" t="n">
        <v>1</v>
      </c>
      <c r="L15" s="149">
        <f>SUM(F15:K15)</f>
        <v/>
      </c>
    </row>
    <row r="16" ht="24" customHeight="1" s="63">
      <c r="B16" s="229" t="n">
        <v>10</v>
      </c>
      <c r="C16" s="112" t="inlineStr">
        <is>
          <t>Кабель оптический самонесущий, 32 волокна</t>
        </is>
      </c>
      <c r="D16" s="229" t="inlineStr">
        <is>
          <t>км</t>
        </is>
      </c>
      <c r="E16" s="112" t="inlineStr">
        <is>
          <t>то же</t>
        </is>
      </c>
      <c r="F16" s="222" t="n">
        <v>2.9</v>
      </c>
      <c r="G16" s="222" t="n">
        <v>0.6</v>
      </c>
      <c r="H16" s="222" t="n">
        <v>1.4</v>
      </c>
      <c r="I16" s="222" t="n">
        <v>2.4</v>
      </c>
      <c r="J16" s="222" t="n">
        <v>0.7</v>
      </c>
      <c r="K16" s="222" t="n">
        <v>0.8</v>
      </c>
      <c r="L16" s="148">
        <f>SUM(F16:K16)</f>
        <v/>
      </c>
    </row>
    <row r="17" ht="24" customHeight="1" s="63">
      <c r="B17" s="230" t="n">
        <v>11</v>
      </c>
      <c r="C17" s="114" t="inlineStr">
        <is>
          <t>Кабель оптический самонесущий, 48 волокон</t>
        </is>
      </c>
      <c r="D17" s="230" t="inlineStr">
        <is>
          <t>км</t>
        </is>
      </c>
      <c r="E17" s="114" t="inlineStr">
        <is>
          <t>то же</t>
        </is>
      </c>
      <c r="F17" s="224" t="n">
        <v>2.7</v>
      </c>
      <c r="G17" s="224" t="n">
        <v>0.2</v>
      </c>
      <c r="H17" s="224" t="n">
        <v>0.9</v>
      </c>
      <c r="I17" s="224" t="n">
        <v>1.9</v>
      </c>
      <c r="J17" s="224" t="n">
        <v>1.1</v>
      </c>
      <c r="K17" s="224" t="n">
        <v>0.5</v>
      </c>
      <c r="L17" s="149">
        <f>SUM(F17:K17)</f>
        <v/>
      </c>
    </row>
    <row r="18" ht="24" customHeight="1" s="63">
      <c r="B18" s="229" t="n">
        <v>12</v>
      </c>
      <c r="C18" s="112" t="inlineStr">
        <is>
          <t>Кабель оптический самонесущий, 64 волокна</t>
        </is>
      </c>
      <c r="D18" s="229" t="inlineStr">
        <is>
          <t>км</t>
        </is>
      </c>
      <c r="E18" s="112" t="inlineStr">
        <is>
          <t>то же</t>
        </is>
      </c>
      <c r="F18" s="222" t="n">
        <v>1.1</v>
      </c>
      <c r="G18" s="222" t="n">
        <v>0.4</v>
      </c>
      <c r="H18" s="222" t="n">
        <v>0.2</v>
      </c>
      <c r="I18" s="222" t="n">
        <v>0.3</v>
      </c>
      <c r="J18" s="222" t="n">
        <v>0.5</v>
      </c>
      <c r="K18" s="222" t="n">
        <v>0.2</v>
      </c>
      <c r="L18" s="148">
        <f>SUM(F18:K18)</f>
        <v/>
      </c>
    </row>
    <row r="19" ht="24" customHeight="1" s="63">
      <c r="B19" s="230" t="n">
        <v>13</v>
      </c>
      <c r="C19" s="114" t="inlineStr">
        <is>
          <t>Кабель оптический самонесущий, 72 волокна</t>
        </is>
      </c>
      <c r="D19" s="230" t="inlineStr">
        <is>
          <t>км</t>
        </is>
      </c>
      <c r="E19" s="114" t="inlineStr">
        <is>
          <t>то же</t>
        </is>
      </c>
      <c r="F19" s="224" t="n">
        <v>0.2</v>
      </c>
      <c r="G19" s="224" t="n"/>
      <c r="H19" s="224" t="n"/>
      <c r="I19" s="224" t="n"/>
      <c r="J19" s="224" t="n"/>
      <c r="K19" s="224" t="n">
        <v>0.1</v>
      </c>
      <c r="L19" s="149">
        <f>SUM(F19:K19)</f>
        <v/>
      </c>
    </row>
    <row r="20" ht="24" customHeight="1" s="63">
      <c r="B20" s="229" t="n">
        <v>14</v>
      </c>
      <c r="C20" s="112" t="inlineStr">
        <is>
          <t>Кабель оптический самонесущий, 96 волокон</t>
        </is>
      </c>
      <c r="D20" s="229" t="inlineStr">
        <is>
          <t>км</t>
        </is>
      </c>
      <c r="E20" s="112" t="inlineStr">
        <is>
          <t>то же</t>
        </is>
      </c>
      <c r="F20" s="222" t="n">
        <v>0.3</v>
      </c>
      <c r="G20" s="222" t="n">
        <v>0.2</v>
      </c>
      <c r="H20" s="222" t="n">
        <v>0.1</v>
      </c>
      <c r="I20" s="222" t="n"/>
      <c r="J20" s="222" t="n"/>
      <c r="K20" s="222" t="n"/>
      <c r="L20" s="148">
        <f>SUM(F20:K20)</f>
        <v/>
      </c>
    </row>
    <row r="21" ht="24" customHeight="1" s="63">
      <c r="B21" s="230" t="n">
        <v>15</v>
      </c>
      <c r="C21" s="114" t="inlineStr">
        <is>
          <t>Кабель дроп-кабельный самонесущий, 2 волокна (1 раб. + 1 рез.)</t>
        </is>
      </c>
      <c r="D21" s="230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224" t="n">
        <v>44.9</v>
      </c>
      <c r="G21" s="224" t="n">
        <v>4.6</v>
      </c>
      <c r="H21" s="224" t="n">
        <v>13.8</v>
      </c>
      <c r="I21" s="224" t="n">
        <v>29.6</v>
      </c>
      <c r="J21" s="224" t="n">
        <v>11.6</v>
      </c>
      <c r="K21" s="224" t="n">
        <v>11.8</v>
      </c>
      <c r="L21" s="149">
        <f>SUM(F21:K21)</f>
        <v/>
      </c>
    </row>
    <row r="22" ht="24" customHeight="1" s="63">
      <c r="B22" s="229" t="n">
        <v>16</v>
      </c>
      <c r="C22" s="112" t="inlineStr">
        <is>
          <t>Справочно: суммарная ёмкость магистрального кабеля</t>
        </is>
      </c>
      <c r="D22" s="229" t="inlineStr">
        <is>
          <t>волокно-км</t>
        </is>
      </c>
      <c r="E22" s="112" t="inlineStr">
        <is>
          <t>Σ (длина участка × волокна)</t>
        </is>
      </c>
      <c r="F22" s="222" t="n">
        <v>547.5</v>
      </c>
      <c r="G22" s="222" t="n">
        <v>97.8</v>
      </c>
      <c r="H22" s="222" t="n">
        <v>194</v>
      </c>
      <c r="I22" s="222" t="n">
        <v>333.9</v>
      </c>
      <c r="J22" s="222" t="n">
        <v>163.3</v>
      </c>
      <c r="K22" s="222" t="n">
        <v>137.9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229" t="n">
        <v>17</v>
      </c>
      <c r="C24" s="112" t="inlineStr">
        <is>
          <t>Муфта оптическая (ветвления магистрали)</t>
        </is>
      </c>
      <c r="D24" s="229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220" t="n">
        <v>371</v>
      </c>
      <c r="G24" s="220" t="n">
        <v>70</v>
      </c>
      <c r="H24" s="220" t="n">
        <v>158</v>
      </c>
      <c r="I24" s="220" t="n">
        <v>247</v>
      </c>
      <c r="J24" s="220" t="n">
        <v>119</v>
      </c>
      <c r="K24" s="220" t="n">
        <v>147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229" t="n">
        <v>18</v>
      </c>
      <c r="C26" s="112" t="inlineStr">
        <is>
          <t>Бокс абонентский оптический с адаптером SC/UPC</t>
        </is>
      </c>
      <c r="D26" s="229" t="inlineStr">
        <is>
          <t>шт</t>
        </is>
      </c>
      <c r="E26" s="112" t="inlineStr">
        <is>
          <t>1 на ДХ</t>
        </is>
      </c>
      <c r="F26" s="220" t="n">
        <v>1029</v>
      </c>
      <c r="G26" s="220" t="n">
        <v>124</v>
      </c>
      <c r="H26" s="220" t="n">
        <v>376</v>
      </c>
      <c r="I26" s="220" t="n">
        <v>622</v>
      </c>
      <c r="J26" s="220" t="n">
        <v>286</v>
      </c>
      <c r="K26" s="220" t="n">
        <v>328</v>
      </c>
      <c r="L26" s="146">
        <f>SUM(F26:K26)</f>
        <v/>
      </c>
    </row>
    <row r="27" ht="24" customHeight="1" s="63">
      <c r="B27" s="230" t="n">
        <v>19</v>
      </c>
      <c r="C27" s="114" t="inlineStr">
        <is>
          <t>Коннектор оптический механический SC/UPC</t>
        </is>
      </c>
      <c r="D27" s="230" t="inlineStr">
        <is>
          <t>шт</t>
        </is>
      </c>
      <c r="E27" s="114" t="inlineStr">
        <is>
          <t>ДХ × 1,1 (абонентский бокс)</t>
        </is>
      </c>
      <c r="F27" s="221" t="n">
        <v>1132</v>
      </c>
      <c r="G27" s="221" t="n">
        <v>137</v>
      </c>
      <c r="H27" s="221" t="n">
        <v>414</v>
      </c>
      <c r="I27" s="221" t="n">
        <v>685</v>
      </c>
      <c r="J27" s="221" t="n">
        <v>315</v>
      </c>
      <c r="K27" s="221" t="n">
        <v>361</v>
      </c>
      <c r="L27" s="147">
        <f>SUM(F27:K27)</f>
        <v/>
      </c>
    </row>
    <row r="28" ht="24" customHeight="1" s="63">
      <c r="B28" s="229" t="n">
        <v>20</v>
      </c>
      <c r="C28" s="112" t="inlineStr">
        <is>
          <t>Сварное соединение (оценка объёма работ)</t>
        </is>
      </c>
      <c r="D28" s="229" t="inlineStr">
        <is>
          <t>шт</t>
        </is>
      </c>
      <c r="E28" s="112" t="inlineStr">
        <is>
          <t>(2 × ДХ + 2 × сплиттеры 1:64) × 1,1</t>
        </is>
      </c>
      <c r="F28" s="220" t="n">
        <v>2310</v>
      </c>
      <c r="G28" s="220" t="n">
        <v>278</v>
      </c>
      <c r="H28" s="220" t="n">
        <v>843</v>
      </c>
      <c r="I28" s="220" t="n">
        <v>1400</v>
      </c>
      <c r="J28" s="220" t="n">
        <v>645</v>
      </c>
      <c r="K28" s="220" t="n">
        <v>737</v>
      </c>
      <c r="L28" s="146">
        <f>SUM(F28:K28)</f>
        <v/>
      </c>
    </row>
    <row r="29" ht="24" customHeight="1" s="63">
      <c r="B29" s="230" t="n">
        <v>21</v>
      </c>
      <c r="C29" s="114" t="inlineStr">
        <is>
          <t>Гильза КДЗС, 60 мм</t>
        </is>
      </c>
      <c r="D29" s="230" t="inlineStr">
        <is>
          <t>шт</t>
        </is>
      </c>
      <c r="E29" s="114" t="inlineStr">
        <is>
          <t>по числу сварных соединений</t>
        </is>
      </c>
      <c r="F29" s="221" t="n">
        <v>2310</v>
      </c>
      <c r="G29" s="221" t="n">
        <v>278</v>
      </c>
      <c r="H29" s="221" t="n">
        <v>843</v>
      </c>
      <c r="I29" s="221" t="n">
        <v>1400</v>
      </c>
      <c r="J29" s="221" t="n">
        <v>645</v>
      </c>
      <c r="K29" s="221" t="n">
        <v>737</v>
      </c>
      <c r="L29" s="147">
        <f>SUM(F29:K29)</f>
        <v/>
      </c>
    </row>
    <row r="30" ht="24" customHeight="1" s="63">
      <c r="B30" s="229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229" t="inlineStr">
        <is>
          <t>компл</t>
        </is>
      </c>
      <c r="E30" s="112" t="inlineStr">
        <is>
          <t>30 на 1 км кабеля</t>
        </is>
      </c>
      <c r="F30" s="220" t="n">
        <v>844</v>
      </c>
      <c r="G30" s="220" t="n">
        <v>139</v>
      </c>
      <c r="H30" s="220" t="n">
        <v>317</v>
      </c>
      <c r="I30" s="220" t="n">
        <v>548</v>
      </c>
      <c r="J30" s="220" t="n">
        <v>237</v>
      </c>
      <c r="K30" s="220" t="n">
        <v>256</v>
      </c>
      <c r="L30" s="146">
        <f>SUM(F30:K30)</f>
        <v/>
      </c>
    </row>
    <row r="31" ht="24" customHeight="1" s="63">
      <c r="B31" s="230" t="n">
        <v>23</v>
      </c>
      <c r="C31" s="114" t="inlineStr">
        <is>
          <t>Анкерный зажим дроп-кабеля</t>
        </is>
      </c>
      <c r="D31" s="230" t="inlineStr">
        <is>
          <t>шт</t>
        </is>
      </c>
      <c r="E31" s="114" t="inlineStr">
        <is>
          <t>2 на ДХ</t>
        </is>
      </c>
      <c r="F31" s="221" t="n">
        <v>2058</v>
      </c>
      <c r="G31" s="221" t="n">
        <v>248</v>
      </c>
      <c r="H31" s="221" t="n">
        <v>752</v>
      </c>
      <c r="I31" s="221" t="n">
        <v>1244</v>
      </c>
      <c r="J31" s="221" t="n">
        <v>572</v>
      </c>
      <c r="K31" s="221" t="n">
        <v>656</v>
      </c>
      <c r="L31" s="147">
        <f>SUM(F31:K31)</f>
        <v/>
      </c>
    </row>
    <row r="32" ht="24" customHeight="1" s="63">
      <c r="B32" s="229" t="n">
        <v>24</v>
      </c>
      <c r="C32" s="112" t="inlineStr">
        <is>
          <t>Крепёж дроп-кабеля (скобы / хомуты)</t>
        </is>
      </c>
      <c r="D32" s="229" t="inlineStr">
        <is>
          <t>шт</t>
        </is>
      </c>
      <c r="E32" s="112" t="inlineStr">
        <is>
          <t>6 на ДХ</t>
        </is>
      </c>
      <c r="F32" s="220" t="n">
        <v>6174</v>
      </c>
      <c r="G32" s="220" t="n">
        <v>744</v>
      </c>
      <c r="H32" s="220" t="n">
        <v>2256</v>
      </c>
      <c r="I32" s="220" t="n">
        <v>3732</v>
      </c>
      <c r="J32" s="220" t="n">
        <v>1716</v>
      </c>
      <c r="K32" s="220" t="n">
        <v>1968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28 зон + 6 ЦУ = 34 ОРШ; заполнение сплиттеров 1:64 — 75-100%; ср. волоконный маршрут ДХ 304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38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28 зон + 6 ЦУ = 34 ОРШ; волокно-км 1474 (-69% к A); суммарная длина 202.1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220" t="n">
        <v>84</v>
      </c>
      <c r="G18" s="220" t="n">
        <v>0</v>
      </c>
      <c r="H18" s="220" t="n">
        <v>2</v>
      </c>
      <c r="I18" s="220" t="n">
        <v>0</v>
      </c>
      <c r="J18" s="220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221" t="n">
        <v>109</v>
      </c>
      <c r="G19" s="221" t="n">
        <v>716</v>
      </c>
      <c r="H19" s="221" t="n">
        <v>2</v>
      </c>
      <c r="I19" s="221" t="n">
        <v>3</v>
      </c>
      <c r="J19" s="221" t="n">
        <v>144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220" t="n">
        <v>116</v>
      </c>
      <c r="G20" s="220" t="n">
        <v>738</v>
      </c>
      <c r="H20" s="220" t="n">
        <v>2</v>
      </c>
      <c r="I20" s="220" t="n">
        <v>3</v>
      </c>
      <c r="J20" s="220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221" t="n">
        <v>136</v>
      </c>
      <c r="G21" s="221" t="n">
        <v>1359</v>
      </c>
      <c r="H21" s="221" t="n">
        <v>3</v>
      </c>
      <c r="I21" s="221" t="n">
        <v>4</v>
      </c>
      <c r="J21" s="221" t="n">
        <v>288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220" t="n">
        <v>142</v>
      </c>
      <c r="G22" s="220" t="n">
        <v>1313</v>
      </c>
      <c r="H22" s="220" t="n">
        <v>3</v>
      </c>
      <c r="I22" s="220" t="n">
        <v>4</v>
      </c>
      <c r="J22" s="220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221" t="n">
        <v>127</v>
      </c>
      <c r="G23" s="221" t="n">
        <v>959</v>
      </c>
      <c r="H23" s="221" t="n">
        <v>2</v>
      </c>
      <c r="I23" s="221" t="n">
        <v>3</v>
      </c>
      <c r="J23" s="221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220" t="n">
        <v>64</v>
      </c>
      <c r="G24" s="220" t="n">
        <v>680</v>
      </c>
      <c r="H24" s="220" t="n">
        <v>1</v>
      </c>
      <c r="I24" s="220" t="n">
        <v>2</v>
      </c>
      <c r="J24" s="220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221" t="n">
        <v>71</v>
      </c>
      <c r="G25" s="221" t="n">
        <v>782</v>
      </c>
      <c r="H25" s="221" t="n">
        <v>2</v>
      </c>
      <c r="I25" s="221" t="n">
        <v>3</v>
      </c>
      <c r="J25" s="221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220" t="n">
        <v>50</v>
      </c>
      <c r="G26" s="220" t="n">
        <v>1708</v>
      </c>
      <c r="H26" s="220" t="n">
        <v>1</v>
      </c>
      <c r="I26" s="220" t="n">
        <v>2</v>
      </c>
      <c r="J26" s="220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221" t="n">
        <v>80</v>
      </c>
      <c r="G27" s="221" t="n">
        <v>835</v>
      </c>
      <c r="H27" s="221" t="n">
        <v>2</v>
      </c>
      <c r="I27" s="221" t="n">
        <v>3</v>
      </c>
      <c r="J27" s="221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220" t="n">
        <v>50</v>
      </c>
      <c r="G28" s="220" t="n">
        <v>1175</v>
      </c>
      <c r="H28" s="220" t="n">
        <v>1</v>
      </c>
      <c r="I28" s="220" t="n">
        <v>2</v>
      </c>
      <c r="J28" s="220" t="n">
        <v>96</v>
      </c>
    </row>
    <row r="29" ht="18" customHeight="1" s="63">
      <c r="C29" s="114" t="inlineStr">
        <is>
          <t>Солнечное</t>
        </is>
      </c>
      <c r="D29" s="114" t="inlineStr">
        <is>
          <t>ЦУ</t>
        </is>
      </c>
      <c r="E29" s="114" t="inlineStr">
        <is>
          <t>ЦУ (корневая)</t>
        </is>
      </c>
      <c r="F29" s="221" t="n">
        <v>124</v>
      </c>
      <c r="G29" s="221" t="n">
        <v>0</v>
      </c>
      <c r="H29" s="221" t="n">
        <v>2</v>
      </c>
      <c r="I29" s="221" t="n">
        <v>0</v>
      </c>
      <c r="J29" s="221" t="n">
        <v>144</v>
      </c>
    </row>
    <row r="30" ht="18" customHeight="1" s="63">
      <c r="C30" s="112" t="inlineStr">
        <is>
          <t>Перевальное</t>
        </is>
      </c>
      <c r="D30" s="112" t="inlineStr">
        <is>
          <t>ЦУ</t>
        </is>
      </c>
      <c r="E30" s="112" t="inlineStr">
        <is>
          <t>ЦУ (корневая)</t>
        </is>
      </c>
      <c r="F30" s="220" t="n">
        <v>54</v>
      </c>
      <c r="G30" s="220" t="n">
        <v>0</v>
      </c>
      <c r="H30" s="220" t="n">
        <v>1</v>
      </c>
      <c r="I30" s="220" t="n">
        <v>0</v>
      </c>
      <c r="J30" s="220" t="n">
        <v>144</v>
      </c>
    </row>
    <row r="31" ht="18" customHeight="1" s="63">
      <c r="C31" s="114" t="inlineStr"/>
      <c r="D31" s="114" t="inlineStr">
        <is>
          <t>З-1</t>
        </is>
      </c>
      <c r="E31" s="114" t="inlineStr">
        <is>
          <t>зонный шкаф</t>
        </is>
      </c>
      <c r="F31" s="221" t="n">
        <v>102</v>
      </c>
      <c r="G31" s="221" t="n">
        <v>703</v>
      </c>
      <c r="H31" s="221" t="n">
        <v>2</v>
      </c>
      <c r="I31" s="221" t="n">
        <v>3</v>
      </c>
      <c r="J31" s="221" t="n">
        <v>144</v>
      </c>
    </row>
    <row r="32" ht="18" customHeight="1" s="63">
      <c r="C32" s="112" t="inlineStr"/>
      <c r="D32" s="112" t="inlineStr">
        <is>
          <t>З-2</t>
        </is>
      </c>
      <c r="E32" s="112" t="inlineStr">
        <is>
          <t>зонный шкаф</t>
        </is>
      </c>
      <c r="F32" s="220" t="n">
        <v>62</v>
      </c>
      <c r="G32" s="220" t="n">
        <v>1820</v>
      </c>
      <c r="H32" s="220" t="n">
        <v>1</v>
      </c>
      <c r="I32" s="220" t="n">
        <v>2</v>
      </c>
      <c r="J32" s="220" t="n">
        <v>96</v>
      </c>
    </row>
    <row r="33" ht="18" customHeight="1" s="63">
      <c r="C33" s="114" t="inlineStr"/>
      <c r="D33" s="114" t="inlineStr">
        <is>
          <t>З-3</t>
        </is>
      </c>
      <c r="E33" s="114" t="inlineStr">
        <is>
          <t>зонный шкаф</t>
        </is>
      </c>
      <c r="F33" s="221" t="n">
        <v>104</v>
      </c>
      <c r="G33" s="221" t="n">
        <v>417</v>
      </c>
      <c r="H33" s="221" t="n">
        <v>2</v>
      </c>
      <c r="I33" s="221" t="n">
        <v>3</v>
      </c>
      <c r="J33" s="221" t="n">
        <v>144</v>
      </c>
    </row>
    <row r="34" ht="18" customHeight="1" s="63">
      <c r="C34" s="112" t="inlineStr"/>
      <c r="D34" s="112" t="inlineStr">
        <is>
          <t>З-4</t>
        </is>
      </c>
      <c r="E34" s="112" t="inlineStr">
        <is>
          <t>зонный шкаф</t>
        </is>
      </c>
      <c r="F34" s="220" t="n">
        <v>54</v>
      </c>
      <c r="G34" s="220" t="n">
        <v>556</v>
      </c>
      <c r="H34" s="220" t="n">
        <v>1</v>
      </c>
      <c r="I34" s="220" t="n">
        <v>2</v>
      </c>
      <c r="J34" s="220" t="n">
        <v>96</v>
      </c>
    </row>
    <row r="35" ht="18" customHeight="1" s="63">
      <c r="C35" s="114" t="inlineStr">
        <is>
          <t>Винное</t>
        </is>
      </c>
      <c r="D35" s="114" t="inlineStr">
        <is>
          <t>ЦУ</t>
        </is>
      </c>
      <c r="E35" s="114" t="inlineStr">
        <is>
          <t>ЦУ (корневая)</t>
        </is>
      </c>
      <c r="F35" s="221" t="n">
        <v>33</v>
      </c>
      <c r="G35" s="221" t="n">
        <v>0</v>
      </c>
      <c r="H35" s="221" t="n">
        <v>1</v>
      </c>
      <c r="I35" s="221" t="n">
        <v>0</v>
      </c>
      <c r="J35" s="221" t="n">
        <v>144</v>
      </c>
    </row>
    <row r="36" ht="18" customHeight="1" s="63">
      <c r="C36" s="112" t="inlineStr"/>
      <c r="D36" s="112" t="inlineStr">
        <is>
          <t>З-1</t>
        </is>
      </c>
      <c r="E36" s="112" t="inlineStr">
        <is>
          <t>зонный шкаф</t>
        </is>
      </c>
      <c r="F36" s="220" t="n">
        <v>56</v>
      </c>
      <c r="G36" s="220" t="n">
        <v>587</v>
      </c>
      <c r="H36" s="220" t="n">
        <v>1</v>
      </c>
      <c r="I36" s="220" t="n">
        <v>2</v>
      </c>
      <c r="J36" s="220" t="n">
        <v>96</v>
      </c>
    </row>
    <row r="37" ht="18" customHeight="1" s="63">
      <c r="C37" s="114" t="inlineStr"/>
      <c r="D37" s="114" t="inlineStr">
        <is>
          <t>З-2</t>
        </is>
      </c>
      <c r="E37" s="114" t="inlineStr">
        <is>
          <t>зонный шкаф</t>
        </is>
      </c>
      <c r="F37" s="221" t="n">
        <v>84</v>
      </c>
      <c r="G37" s="221" t="n">
        <v>387</v>
      </c>
      <c r="H37" s="221" t="n">
        <v>2</v>
      </c>
      <c r="I37" s="221" t="n">
        <v>3</v>
      </c>
      <c r="J37" s="221" t="n">
        <v>96</v>
      </c>
    </row>
    <row r="38" ht="18" customHeight="1" s="63">
      <c r="C38" s="112" t="inlineStr"/>
      <c r="D38" s="112" t="inlineStr">
        <is>
          <t>З-3</t>
        </is>
      </c>
      <c r="E38" s="112" t="inlineStr">
        <is>
          <t>зонный шкаф</t>
        </is>
      </c>
      <c r="F38" s="220" t="n">
        <v>48</v>
      </c>
      <c r="G38" s="220" t="n">
        <v>679</v>
      </c>
      <c r="H38" s="220" t="n">
        <v>1</v>
      </c>
      <c r="I38" s="220" t="n">
        <v>2</v>
      </c>
      <c r="J38" s="220" t="n">
        <v>96</v>
      </c>
    </row>
    <row r="39" ht="18" customHeight="1" s="63">
      <c r="C39" s="114" t="inlineStr"/>
      <c r="D39" s="114" t="inlineStr">
        <is>
          <t>З-4</t>
        </is>
      </c>
      <c r="E39" s="114" t="inlineStr">
        <is>
          <t>зонный шкаф</t>
        </is>
      </c>
      <c r="F39" s="221" t="n">
        <v>76</v>
      </c>
      <c r="G39" s="221" t="n">
        <v>1306</v>
      </c>
      <c r="H39" s="221" t="n">
        <v>2</v>
      </c>
      <c r="I39" s="221" t="n">
        <v>3</v>
      </c>
      <c r="J39" s="221" t="n">
        <v>96</v>
      </c>
    </row>
    <row r="40" ht="18" customHeight="1" s="63">
      <c r="C40" s="112" t="inlineStr"/>
      <c r="D40" s="112" t="inlineStr">
        <is>
          <t>З-5</t>
        </is>
      </c>
      <c r="E40" s="112" t="inlineStr">
        <is>
          <t>зонный шкаф</t>
        </is>
      </c>
      <c r="F40" s="220" t="n">
        <v>74</v>
      </c>
      <c r="G40" s="220" t="n">
        <v>2129</v>
      </c>
      <c r="H40" s="220" t="n">
        <v>2</v>
      </c>
      <c r="I40" s="220" t="n">
        <v>3</v>
      </c>
      <c r="J40" s="220" t="n">
        <v>96</v>
      </c>
    </row>
    <row r="41" ht="18" customHeight="1" s="63">
      <c r="C41" s="114" t="inlineStr"/>
      <c r="D41" s="114" t="inlineStr">
        <is>
          <t>З-6</t>
        </is>
      </c>
      <c r="E41" s="114" t="inlineStr">
        <is>
          <t>зонный шкаф</t>
        </is>
      </c>
      <c r="F41" s="221" t="n">
        <v>92</v>
      </c>
      <c r="G41" s="221" t="n">
        <v>1654</v>
      </c>
      <c r="H41" s="221" t="n">
        <v>2</v>
      </c>
      <c r="I41" s="221" t="n">
        <v>3</v>
      </c>
      <c r="J41" s="221" t="n">
        <v>144</v>
      </c>
    </row>
    <row r="42" ht="18" customHeight="1" s="63">
      <c r="C42" s="112" t="inlineStr"/>
      <c r="D42" s="112" t="inlineStr">
        <is>
          <t>З-7</t>
        </is>
      </c>
      <c r="E42" s="112" t="inlineStr">
        <is>
          <t>зонный шкаф</t>
        </is>
      </c>
      <c r="F42" s="220" t="n">
        <v>102</v>
      </c>
      <c r="G42" s="220" t="n">
        <v>418</v>
      </c>
      <c r="H42" s="220" t="n">
        <v>2</v>
      </c>
      <c r="I42" s="220" t="n">
        <v>3</v>
      </c>
      <c r="J42" s="220" t="n">
        <v>144</v>
      </c>
    </row>
    <row r="43" ht="18" customHeight="1" s="63">
      <c r="C43" s="114" t="inlineStr"/>
      <c r="D43" s="114" t="inlineStr">
        <is>
          <t>З-8</t>
        </is>
      </c>
      <c r="E43" s="114" t="inlineStr">
        <is>
          <t>зонный шкаф</t>
        </is>
      </c>
      <c r="F43" s="221" t="n">
        <v>57</v>
      </c>
      <c r="G43" s="221" t="n">
        <v>372</v>
      </c>
      <c r="H43" s="221" t="n">
        <v>1</v>
      </c>
      <c r="I43" s="221" t="n">
        <v>2</v>
      </c>
      <c r="J43" s="221" t="n">
        <v>96</v>
      </c>
    </row>
    <row r="44" ht="18" customHeight="1" s="63">
      <c r="C44" s="112" t="inlineStr">
        <is>
          <t>Пригородное</t>
        </is>
      </c>
      <c r="D44" s="112" t="inlineStr">
        <is>
          <t>ЦУ</t>
        </is>
      </c>
      <c r="E44" s="112" t="inlineStr">
        <is>
          <t>ЦУ (корневая)</t>
        </is>
      </c>
      <c r="F44" s="220" t="n">
        <v>22</v>
      </c>
      <c r="G44" s="220" t="n">
        <v>0</v>
      </c>
      <c r="H44" s="220" t="n">
        <v>1</v>
      </c>
      <c r="I44" s="220" t="n">
        <v>0</v>
      </c>
      <c r="J44" s="220" t="n">
        <v>144</v>
      </c>
    </row>
    <row r="45" ht="18" customHeight="1" s="63">
      <c r="C45" s="114" t="inlineStr"/>
      <c r="D45" s="114" t="inlineStr">
        <is>
          <t>З-1</t>
        </is>
      </c>
      <c r="E45" s="114" t="inlineStr">
        <is>
          <t>зонный шкаф</t>
        </is>
      </c>
      <c r="F45" s="221" t="n">
        <v>93</v>
      </c>
      <c r="G45" s="221" t="n">
        <v>498</v>
      </c>
      <c r="H45" s="221" t="n">
        <v>2</v>
      </c>
      <c r="I45" s="221" t="n">
        <v>3</v>
      </c>
      <c r="J45" s="221" t="n">
        <v>144</v>
      </c>
    </row>
    <row r="46" ht="18" customHeight="1" s="63">
      <c r="C46" s="112" t="inlineStr"/>
      <c r="D46" s="112" t="inlineStr">
        <is>
          <t>З-2</t>
        </is>
      </c>
      <c r="E46" s="112" t="inlineStr">
        <is>
          <t>зонный шкаф</t>
        </is>
      </c>
      <c r="F46" s="220" t="n">
        <v>102</v>
      </c>
      <c r="G46" s="220" t="n">
        <v>666</v>
      </c>
      <c r="H46" s="220" t="n">
        <v>2</v>
      </c>
      <c r="I46" s="220" t="n">
        <v>3</v>
      </c>
      <c r="J46" s="220" t="n">
        <v>144</v>
      </c>
    </row>
    <row r="47" ht="18" customHeight="1" s="63">
      <c r="C47" s="114" t="inlineStr"/>
      <c r="D47" s="114" t="inlineStr">
        <is>
          <t>З-3</t>
        </is>
      </c>
      <c r="E47" s="114" t="inlineStr">
        <is>
          <t>зонный шкаф</t>
        </is>
      </c>
      <c r="F47" s="221" t="n">
        <v>69</v>
      </c>
      <c r="G47" s="221" t="n">
        <v>470</v>
      </c>
      <c r="H47" s="221" t="n">
        <v>2</v>
      </c>
      <c r="I47" s="221" t="n">
        <v>3</v>
      </c>
      <c r="J47" s="221" t="n">
        <v>96</v>
      </c>
    </row>
    <row r="48" ht="18" customHeight="1" s="63">
      <c r="C48" s="112" t="inlineStr">
        <is>
          <t>Алтайский</t>
        </is>
      </c>
      <c r="D48" s="112" t="inlineStr">
        <is>
          <t>ЦУ</t>
        </is>
      </c>
      <c r="E48" s="112" t="inlineStr">
        <is>
          <t>ЦУ (корневая)</t>
        </is>
      </c>
      <c r="F48" s="220" t="n">
        <v>66</v>
      </c>
      <c r="G48" s="220" t="n">
        <v>0</v>
      </c>
      <c r="H48" s="220" t="n">
        <v>2</v>
      </c>
      <c r="I48" s="220" t="n">
        <v>0</v>
      </c>
      <c r="J48" s="220" t="n">
        <v>144</v>
      </c>
    </row>
    <row r="49" ht="18" customHeight="1" s="63">
      <c r="C49" s="114" t="inlineStr"/>
      <c r="D49" s="114" t="inlineStr">
        <is>
          <t>З-1</t>
        </is>
      </c>
      <c r="E49" s="114" t="inlineStr">
        <is>
          <t>зонный шкаф</t>
        </is>
      </c>
      <c r="F49" s="221" t="n">
        <v>140</v>
      </c>
      <c r="G49" s="221" t="n">
        <v>445</v>
      </c>
      <c r="H49" s="221" t="n">
        <v>3</v>
      </c>
      <c r="I49" s="221" t="n">
        <v>4</v>
      </c>
      <c r="J49" s="221" t="n">
        <v>288</v>
      </c>
    </row>
    <row r="50" ht="18" customHeight="1" s="63">
      <c r="C50" s="112" t="inlineStr"/>
      <c r="D50" s="112" t="inlineStr">
        <is>
          <t>З-2</t>
        </is>
      </c>
      <c r="E50" s="112" t="inlineStr">
        <is>
          <t>зонный шкаф</t>
        </is>
      </c>
      <c r="F50" s="220" t="n">
        <v>59</v>
      </c>
      <c r="G50" s="220" t="n">
        <v>946</v>
      </c>
      <c r="H50" s="220" t="n">
        <v>1</v>
      </c>
      <c r="I50" s="220" t="n">
        <v>2</v>
      </c>
      <c r="J50" s="220" t="n">
        <v>96</v>
      </c>
    </row>
    <row r="51" ht="18" customHeight="1" s="63">
      <c r="C51" s="114" t="inlineStr"/>
      <c r="D51" s="114" t="inlineStr">
        <is>
          <t>З-3</t>
        </is>
      </c>
      <c r="E51" s="114" t="inlineStr">
        <is>
          <t>зонный шкаф</t>
        </is>
      </c>
      <c r="F51" s="221" t="n">
        <v>63</v>
      </c>
      <c r="G51" s="221" t="n">
        <v>432</v>
      </c>
      <c r="H51" s="221" t="n">
        <v>1</v>
      </c>
      <c r="I51" s="221" t="n">
        <v>2</v>
      </c>
      <c r="J51" s="221" t="n">
        <v>96</v>
      </c>
    </row>
    <row r="52" ht="20" customHeight="1" s="63">
      <c r="C52" s="108" t="inlineStr">
        <is>
          <t>ИТОГО</t>
        </is>
      </c>
      <c r="D52" s="108" t="inlineStr">
        <is>
          <t>34 ОРШ</t>
        </is>
      </c>
      <c r="E52" s="116" t="n"/>
      <c r="F52" s="117">
        <f>SUM(F18:F51)</f>
        <v/>
      </c>
      <c r="G52" s="117" t="n"/>
      <c r="H52" s="117">
        <f>SUM(H18:H51)</f>
        <v/>
      </c>
      <c r="I52" s="117">
        <f>SUM(I18:I51)</f>
        <v/>
      </c>
      <c r="J52" s="117">
        <f>SUM(J18:J51)</f>
        <v/>
      </c>
    </row>
    <row r="53" ht="14" customHeight="1" s="63">
      <c r="B53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55" ht="24" customHeight="1" s="63">
      <c r="B55" s="108" t="n"/>
      <c r="C55" s="108" t="inlineStr">
        <is>
          <t>В. Параметрический sweep порога окупаемости S_MIN</t>
        </is>
      </c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108" t="n"/>
      <c r="N55" s="108" t="n"/>
    </row>
    <row r="56" ht="28" customHeight="1" s="63">
      <c r="C56" s="111" t="inlineStr">
        <is>
          <t>S_MIN, вол-км</t>
        </is>
      </c>
      <c r="D56" s="111" t="inlineStr">
        <is>
          <t>ОРШ, шт</t>
        </is>
      </c>
      <c r="E56" s="111" t="inlineStr">
        <is>
          <t>Волокно-км</t>
        </is>
      </c>
      <c r="F56" s="111" t="inlineStr">
        <is>
          <t>Δ к A (4375,1)</t>
        </is>
      </c>
      <c r="G56" s="111" t="inlineStr">
        <is>
          <t>Кабель, км</t>
        </is>
      </c>
      <c r="H56" s="111" t="inlineStr">
        <is>
          <t>Дропы, км</t>
        </is>
      </c>
      <c r="I56" s="111" t="inlineStr">
        <is>
          <t>ВСЕГО, км</t>
        </is>
      </c>
      <c r="J56" s="111" t="inlineStr">
        <is>
          <t>Сплиттеры</t>
        </is>
      </c>
      <c r="K56" s="111" t="inlineStr">
        <is>
          <t>Сварки</t>
        </is>
      </c>
      <c r="L56" s="111" t="inlineStr">
        <is>
          <t>Порты ОРШ</t>
        </is>
      </c>
      <c r="M56" s="111" t="inlineStr">
        <is>
          <t>Ср. маршрут волокна, м</t>
        </is>
      </c>
      <c r="N56" s="111" t="inlineStr">
        <is>
          <t>Макс. ёмкость, F</t>
        </is>
      </c>
    </row>
    <row r="57" ht="18" customHeight="1" s="63">
      <c r="C57" s="220" t="n">
        <v>2</v>
      </c>
      <c r="D57" s="220" t="n">
        <v>48</v>
      </c>
      <c r="E57" s="222" t="n">
        <v>1460.2</v>
      </c>
      <c r="F57" s="223">
        <f>E57/4375.1-1</f>
        <v/>
      </c>
      <c r="G57" s="222" t="n">
        <v>80.40000000000001</v>
      </c>
      <c r="H57" s="222" t="n">
        <v>95.8</v>
      </c>
      <c r="I57" s="222">
        <f>G57+H57</f>
        <v/>
      </c>
      <c r="J57" s="220" t="n">
        <v>56</v>
      </c>
      <c r="K57" s="220" t="n">
        <v>5261</v>
      </c>
      <c r="L57" s="220" t="n">
        <v>4368</v>
      </c>
      <c r="M57" s="220" t="n">
        <v>349</v>
      </c>
      <c r="N57" s="220" t="n">
        <v>74</v>
      </c>
    </row>
    <row r="58" ht="18" customHeight="1" s="63">
      <c r="C58" s="221" t="n">
        <v>5</v>
      </c>
      <c r="D58" s="221" t="n">
        <v>43</v>
      </c>
      <c r="E58" s="224" t="n">
        <v>1476.5</v>
      </c>
      <c r="F58" s="225">
        <f>E58/4375.1-1</f>
        <v/>
      </c>
      <c r="G58" s="224" t="n">
        <v>80.40000000000001</v>
      </c>
      <c r="H58" s="224" t="n">
        <v>95.8</v>
      </c>
      <c r="I58" s="224">
        <f>G58+H58</f>
        <v/>
      </c>
      <c r="J58" s="221" t="n">
        <v>54</v>
      </c>
      <c r="K58" s="221" t="n">
        <v>5255</v>
      </c>
      <c r="L58" s="221" t="n">
        <v>4176</v>
      </c>
      <c r="M58" s="221" t="n">
        <v>358</v>
      </c>
      <c r="N58" s="221" t="n">
        <v>108</v>
      </c>
    </row>
    <row r="59" ht="18" customHeight="1" s="63">
      <c r="C59" s="220" t="n">
        <v>8</v>
      </c>
      <c r="D59" s="220" t="n">
        <v>39</v>
      </c>
      <c r="E59" s="222" t="n">
        <v>1500.8</v>
      </c>
      <c r="F59" s="223">
        <f>E59/4375.1-1</f>
        <v/>
      </c>
      <c r="G59" s="222" t="n">
        <v>80.40000000000001</v>
      </c>
      <c r="H59" s="222" t="n">
        <v>95.8</v>
      </c>
      <c r="I59" s="222">
        <f>G59+H59</f>
        <v/>
      </c>
      <c r="J59" s="220" t="n">
        <v>53</v>
      </c>
      <c r="K59" s="220" t="n">
        <v>5253</v>
      </c>
      <c r="L59" s="220" t="n">
        <v>3984</v>
      </c>
      <c r="M59" s="220" t="n">
        <v>368</v>
      </c>
      <c r="N59" s="220" t="n">
        <v>119</v>
      </c>
    </row>
    <row r="60" ht="18" customHeight="1" s="63">
      <c r="C60" s="221" t="n">
        <v>10</v>
      </c>
      <c r="D60" s="221" t="n">
        <v>36</v>
      </c>
      <c r="E60" s="224" t="n">
        <v>1532.5</v>
      </c>
      <c r="F60" s="225">
        <f>E60/4375.1-1</f>
        <v/>
      </c>
      <c r="G60" s="224" t="n">
        <v>80.40000000000001</v>
      </c>
      <c r="H60" s="224" t="n">
        <v>95.8</v>
      </c>
      <c r="I60" s="224">
        <f>G60+H60</f>
        <v/>
      </c>
      <c r="J60" s="221" t="n">
        <v>53</v>
      </c>
      <c r="K60" s="221" t="n">
        <v>5253</v>
      </c>
      <c r="L60" s="221" t="n">
        <v>3888</v>
      </c>
      <c r="M60" s="221" t="n">
        <v>379</v>
      </c>
      <c r="N60" s="221" t="n">
        <v>119</v>
      </c>
    </row>
    <row r="61" ht="18" customHeight="1" s="63">
      <c r="C61" s="226" t="n">
        <v>15</v>
      </c>
      <c r="D61" s="226" t="n">
        <v>34</v>
      </c>
      <c r="E61" s="227" t="n">
        <v>1562.5</v>
      </c>
      <c r="F61" s="228">
        <f>E61/4375.1-1</f>
        <v/>
      </c>
      <c r="G61" s="227" t="n">
        <v>80.5</v>
      </c>
      <c r="H61" s="227" t="n">
        <v>95.8</v>
      </c>
      <c r="I61" s="227">
        <f>G61+H61</f>
        <v/>
      </c>
      <c r="J61" s="226" t="n">
        <v>52</v>
      </c>
      <c r="K61" s="226" t="n">
        <v>5251</v>
      </c>
      <c r="L61" s="226" t="n">
        <v>3696</v>
      </c>
      <c r="M61" s="226" t="n">
        <v>388</v>
      </c>
      <c r="N61" s="226" t="n">
        <v>128</v>
      </c>
    </row>
    <row r="62" ht="18" customHeight="1" s="63">
      <c r="C62" s="221" t="n">
        <v>20</v>
      </c>
      <c r="D62" s="221" t="n">
        <v>32</v>
      </c>
      <c r="E62" s="224" t="n">
        <v>1603.9</v>
      </c>
      <c r="F62" s="225">
        <f>E62/4375.1-1</f>
        <v/>
      </c>
      <c r="G62" s="224" t="n">
        <v>80.90000000000001</v>
      </c>
      <c r="H62" s="224" t="n">
        <v>95.8</v>
      </c>
      <c r="I62" s="224">
        <f>G62+H62</f>
        <v/>
      </c>
      <c r="J62" s="221" t="n">
        <v>51</v>
      </c>
      <c r="K62" s="221" t="n">
        <v>5249</v>
      </c>
      <c r="L62" s="221" t="n">
        <v>3696</v>
      </c>
      <c r="M62" s="221" t="n">
        <v>403</v>
      </c>
      <c r="N62" s="221" t="n">
        <v>148</v>
      </c>
    </row>
    <row r="63" ht="18" customHeight="1" s="63">
      <c r="C63" s="220" t="n">
        <v>25</v>
      </c>
      <c r="D63" s="220" t="n">
        <v>29</v>
      </c>
      <c r="E63" s="222" t="n">
        <v>1674.7</v>
      </c>
      <c r="F63" s="223">
        <f>E63/4375.1-1</f>
        <v/>
      </c>
      <c r="G63" s="222" t="n">
        <v>81.09999999999999</v>
      </c>
      <c r="H63" s="222" t="n">
        <v>95.8</v>
      </c>
      <c r="I63" s="222">
        <f>G63+H63</f>
        <v/>
      </c>
      <c r="J63" s="220" t="n">
        <v>50</v>
      </c>
      <c r="K63" s="220" t="n">
        <v>5247</v>
      </c>
      <c r="L63" s="220" t="n">
        <v>3600</v>
      </c>
      <c r="M63" s="220" t="n">
        <v>427</v>
      </c>
      <c r="N63" s="220" t="n">
        <v>148</v>
      </c>
    </row>
    <row r="64" ht="18" customHeight="1" s="63">
      <c r="C64" s="221" t="n">
        <v>30</v>
      </c>
      <c r="D64" s="221" t="n">
        <v>27</v>
      </c>
      <c r="E64" s="224" t="n">
        <v>1736.2</v>
      </c>
      <c r="F64" s="225">
        <f>E64/4375.1-1</f>
        <v/>
      </c>
      <c r="G64" s="224" t="n">
        <v>81.59999999999999</v>
      </c>
      <c r="H64" s="224" t="n">
        <v>95.8</v>
      </c>
      <c r="I64" s="224">
        <f>G64+H64</f>
        <v/>
      </c>
      <c r="J64" s="221" t="n">
        <v>48</v>
      </c>
      <c r="K64" s="221" t="n">
        <v>5243</v>
      </c>
      <c r="L64" s="221" t="n">
        <v>3504</v>
      </c>
      <c r="M64" s="221" t="n">
        <v>448</v>
      </c>
      <c r="N64" s="221" t="n">
        <v>154</v>
      </c>
    </row>
    <row r="65" ht="18" customHeight="1" s="63">
      <c r="C65" s="220" t="n">
        <v>40</v>
      </c>
      <c r="D65" s="220" t="n">
        <v>24</v>
      </c>
      <c r="E65" s="222" t="n">
        <v>1852</v>
      </c>
      <c r="F65" s="223">
        <f>E65/4375.1-1</f>
        <v/>
      </c>
      <c r="G65" s="222" t="n">
        <v>82.3</v>
      </c>
      <c r="H65" s="222" t="n">
        <v>95.8</v>
      </c>
      <c r="I65" s="222">
        <f>G65+H65</f>
        <v/>
      </c>
      <c r="J65" s="220" t="n">
        <v>47</v>
      </c>
      <c r="K65" s="220" t="n">
        <v>5241</v>
      </c>
      <c r="L65" s="220" t="n">
        <v>3552</v>
      </c>
      <c r="M65" s="220" t="n">
        <v>488</v>
      </c>
      <c r="N65" s="220" t="n">
        <v>164</v>
      </c>
    </row>
    <row r="66" ht="18" customHeight="1" s="63">
      <c r="C66" s="221" t="n">
        <v>50</v>
      </c>
      <c r="D66" s="221" t="n">
        <v>20</v>
      </c>
      <c r="E66" s="224" t="n">
        <v>2041.2</v>
      </c>
      <c r="F66" s="225">
        <f>E66/4375.1-1</f>
        <v/>
      </c>
      <c r="G66" s="224" t="n">
        <v>83.09999999999999</v>
      </c>
      <c r="H66" s="224" t="n">
        <v>95.8</v>
      </c>
      <c r="I66" s="224">
        <f>G66+H66</f>
        <v/>
      </c>
      <c r="J66" s="221" t="n">
        <v>46</v>
      </c>
      <c r="K66" s="221" t="n">
        <v>5238</v>
      </c>
      <c r="L66" s="221" t="n">
        <v>3696</v>
      </c>
      <c r="M66" s="221" t="n">
        <v>554</v>
      </c>
      <c r="N66" s="221" t="n">
        <v>164</v>
      </c>
    </row>
    <row r="67" ht="18" customHeight="1" s="63">
      <c r="C67" s="220" t="n">
        <v>60</v>
      </c>
      <c r="D67" s="220" t="n">
        <v>18</v>
      </c>
      <c r="E67" s="222" t="n">
        <v>2153.9</v>
      </c>
      <c r="F67" s="223">
        <f>E67/4375.1-1</f>
        <v/>
      </c>
      <c r="G67" s="222" t="n">
        <v>84.09999999999999</v>
      </c>
      <c r="H67" s="222" t="n">
        <v>95.8</v>
      </c>
      <c r="I67" s="222">
        <f>G67+H67</f>
        <v/>
      </c>
      <c r="J67" s="220" t="n">
        <v>45</v>
      </c>
      <c r="K67" s="220" t="n">
        <v>5236</v>
      </c>
      <c r="L67" s="220" t="n">
        <v>3744</v>
      </c>
      <c r="M67" s="220" t="n">
        <v>592</v>
      </c>
      <c r="N67" s="220" t="n">
        <v>245</v>
      </c>
    </row>
    <row r="68" ht="18" customHeight="1" s="63">
      <c r="C68" s="221" t="n">
        <v>80</v>
      </c>
      <c r="D68" s="221" t="n">
        <v>17</v>
      </c>
      <c r="E68" s="224" t="n">
        <v>2215.1</v>
      </c>
      <c r="F68" s="225">
        <f>E68/4375.1-1</f>
        <v/>
      </c>
      <c r="G68" s="224" t="n">
        <v>84.7</v>
      </c>
      <c r="H68" s="224" t="n">
        <v>95.8</v>
      </c>
      <c r="I68" s="224">
        <f>G68+H68</f>
        <v/>
      </c>
      <c r="J68" s="221" t="n">
        <v>44</v>
      </c>
      <c r="K68" s="221" t="n">
        <v>5234</v>
      </c>
      <c r="L68" s="221" t="n">
        <v>3600</v>
      </c>
      <c r="M68" s="221" t="n">
        <v>614</v>
      </c>
      <c r="N68" s="221" t="n">
        <v>245</v>
      </c>
    </row>
    <row r="69" ht="14" customHeight="1" s="63">
      <c r="B69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1" ht="28" customHeight="1" s="63">
      <c r="B71" s="111" t="inlineStr">
        <is>
          <t>ОРШ, шт</t>
        </is>
      </c>
      <c r="C71" s="111" t="inlineStr">
        <is>
          <t>Волокно-км</t>
        </is>
      </c>
      <c r="D71" s="111" t="inlineStr">
        <is>
          <t>Индекс стоимости (с шкафами), у.е.</t>
        </is>
      </c>
    </row>
    <row r="72">
      <c r="B72" s="220" t="n">
        <v>17</v>
      </c>
      <c r="C72" s="222" t="n">
        <v>2215.1</v>
      </c>
      <c r="D72" s="222" t="n">
        <v>527.3</v>
      </c>
    </row>
    <row r="73">
      <c r="B73" s="221" t="n">
        <v>18</v>
      </c>
      <c r="C73" s="224" t="n">
        <v>2153.9</v>
      </c>
      <c r="D73" s="224" t="n">
        <v>529.8</v>
      </c>
    </row>
    <row r="74">
      <c r="B74" s="220" t="n">
        <v>20</v>
      </c>
      <c r="C74" s="222" t="n">
        <v>2041.2</v>
      </c>
      <c r="D74" s="222" t="n">
        <v>527.5</v>
      </c>
    </row>
    <row r="75">
      <c r="B75" s="221" t="n">
        <v>24</v>
      </c>
      <c r="C75" s="224" t="n">
        <v>1852</v>
      </c>
      <c r="D75" s="224" t="n">
        <v>524.2</v>
      </c>
    </row>
    <row r="76">
      <c r="B76" s="220" t="n">
        <v>27</v>
      </c>
      <c r="C76" s="222" t="n">
        <v>1736.2</v>
      </c>
      <c r="D76" s="222" t="n">
        <v>524.4</v>
      </c>
    </row>
    <row r="77">
      <c r="B77" s="221" t="n">
        <v>29</v>
      </c>
      <c r="C77" s="224" t="n">
        <v>1674.7</v>
      </c>
      <c r="D77" s="224" t="n">
        <v>527.9</v>
      </c>
    </row>
    <row r="78">
      <c r="B78" s="220" t="n">
        <v>32</v>
      </c>
      <c r="C78" s="222" t="n">
        <v>1603.9</v>
      </c>
      <c r="D78" s="222" t="n">
        <v>531.7</v>
      </c>
    </row>
    <row r="79">
      <c r="B79" s="221" t="n">
        <v>34</v>
      </c>
      <c r="C79" s="224" t="n">
        <v>1562.5</v>
      </c>
      <c r="D79" s="224" t="n">
        <v>533.2</v>
      </c>
    </row>
    <row r="80">
      <c r="B80" s="220" t="n">
        <v>36</v>
      </c>
      <c r="C80" s="222" t="n">
        <v>1532.5</v>
      </c>
      <c r="D80" s="222" t="n">
        <v>539.3</v>
      </c>
    </row>
    <row r="81">
      <c r="B81" s="221" t="n">
        <v>39</v>
      </c>
      <c r="C81" s="224" t="n">
        <v>1500.8</v>
      </c>
      <c r="D81" s="224" t="n">
        <v>544.4</v>
      </c>
    </row>
    <row r="82">
      <c r="B82" s="220" t="n">
        <v>43</v>
      </c>
      <c r="C82" s="222" t="n">
        <v>1476.5</v>
      </c>
      <c r="D82" s="222" t="n">
        <v>553</v>
      </c>
    </row>
    <row r="83">
      <c r="B83" s="221" t="n">
        <v>48</v>
      </c>
      <c r="C83" s="224" t="n">
        <v>1460.2</v>
      </c>
      <c r="D83" s="224" t="n">
        <v>563.9</v>
      </c>
    </row>
    <row r="85" ht="24" customHeight="1" s="63">
      <c r="B85" s="108" t="n"/>
      <c r="C85" s="108" t="inlineStr">
        <is>
          <t>Г. Сравнение четырёх схем — A / B / C / D</t>
        </is>
      </c>
      <c r="D85" s="108" t="n"/>
      <c r="E85" s="108" t="n"/>
      <c r="F85" s="108" t="n"/>
      <c r="G85" s="108" t="n"/>
      <c r="H85" s="108" t="n"/>
      <c r="I85" s="108" t="n"/>
      <c r="J85" s="108" t="n"/>
      <c r="K85" s="108" t="n"/>
      <c r="L85" s="108" t="n"/>
      <c r="M85" s="108" t="n"/>
      <c r="N85" s="108" t="n"/>
    </row>
    <row r="86" ht="28" customHeight="1" s="63">
      <c r="C86" s="111" t="inlineStr">
        <is>
          <t>Показатель</t>
        </is>
      </c>
      <c r="D86" s="111" t="inlineStr">
        <is>
          <t>A: централизо-ванная 1:64</t>
        </is>
      </c>
      <c r="E86" s="111" t="inlineStr">
        <is>
          <t>B: каскад 1:8+1:8</t>
        </is>
      </c>
      <c r="F86" s="111" t="inlineStr">
        <is>
          <t>C: каскад 1:4+1:16</t>
        </is>
      </c>
      <c r="G86" s="111" t="inlineStr">
        <is>
          <t>D: зонные ОРШ 1:64</t>
        </is>
      </c>
      <c r="H86" s="111" t="inlineStr">
        <is>
          <t>Лучшая</t>
        </is>
      </c>
    </row>
    <row r="87" ht="18" customHeight="1" s="63">
      <c r="C87" s="112" t="inlineStr">
        <is>
          <t>Обслужено ДХ, шт</t>
        </is>
      </c>
      <c r="D87" s="220" t="n">
        <v>2765</v>
      </c>
      <c r="E87" s="220" t="n">
        <v>2765</v>
      </c>
      <c r="F87" s="220" t="n">
        <v>2765</v>
      </c>
      <c r="G87" s="220" t="n">
        <v>2765</v>
      </c>
      <c r="H87" s="229" t="n"/>
    </row>
    <row r="88" ht="18" customHeight="1" s="63">
      <c r="C88" s="114" t="inlineStr">
        <is>
          <t>Волокно-км</t>
        </is>
      </c>
      <c r="D88" s="224" t="n">
        <v>4375.1</v>
      </c>
      <c r="E88" s="224" t="n">
        <v>1256.1</v>
      </c>
      <c r="F88" s="224" t="n">
        <v>889.2</v>
      </c>
      <c r="G88" s="224" t="n">
        <v>1474.4</v>
      </c>
      <c r="H88" s="230">
        <f>CHOOSE(MATCH(MIN(D88:G88),D88:G88,0),"A","B","C","D")</f>
        <v/>
      </c>
    </row>
    <row r="89" ht="18" customHeight="1" s="63">
      <c r="C89" s="112" t="inlineStr">
        <is>
          <t>Волокно-км на ДХ, км</t>
        </is>
      </c>
      <c r="D89" s="231">
        <f>D88/2765</f>
        <v/>
      </c>
      <c r="E89" s="231">
        <f>E88/2765</f>
        <v/>
      </c>
      <c r="F89" s="231">
        <f>F88/2765</f>
        <v/>
      </c>
      <c r="G89" s="231">
        <f>G88/2765</f>
        <v/>
      </c>
      <c r="H89" s="229">
        <f>CHOOSE(MATCH(MIN(D89:G89),D89:G89,0),"A","B","C","D")</f>
        <v/>
      </c>
    </row>
    <row r="90" ht="18" customHeight="1" s="63">
      <c r="C90" s="114" t="inlineStr">
        <is>
          <t>Магистральный кабель, км</t>
        </is>
      </c>
      <c r="D90" s="224" t="n">
        <v>109.4</v>
      </c>
      <c r="E90" s="224" t="n">
        <v>76.5</v>
      </c>
      <c r="F90" s="224" t="n">
        <v>71.09999999999999</v>
      </c>
      <c r="G90" s="224" t="n">
        <v>88.3</v>
      </c>
      <c r="H90" s="230">
        <f>CHOOSE(MATCH(MIN(D90:G90),D90:G90,0),"A","B","C","D")</f>
        <v/>
      </c>
    </row>
    <row r="91" ht="18" customHeight="1" s="63">
      <c r="C91" s="112" t="inlineStr">
        <is>
          <t>в т.ч. 8-волоконный, км</t>
        </is>
      </c>
      <c r="D91" s="222" t="n">
        <v>35.1</v>
      </c>
      <c r="E91" s="222" t="n">
        <v>46.7</v>
      </c>
      <c r="F91" s="222" t="n">
        <v>49.5</v>
      </c>
      <c r="G91" s="222" t="n">
        <v>42.4</v>
      </c>
      <c r="H91" s="229" t="n"/>
    </row>
    <row r="92" ht="18" customHeight="1" s="63">
      <c r="C92" s="114" t="inlineStr">
        <is>
          <t>в т.ч. 96-волоконный, км</t>
        </is>
      </c>
      <c r="D92" s="224" t="n">
        <v>33.8</v>
      </c>
      <c r="E92" s="224" t="n">
        <v>1.5</v>
      </c>
      <c r="F92" s="224" t="n">
        <v>0.9</v>
      </c>
      <c r="G92" s="224" t="n">
        <v>0.6</v>
      </c>
      <c r="H92" s="230" t="n"/>
    </row>
    <row r="93" ht="18" customHeight="1" s="63">
      <c r="C93" s="112" t="inlineStr">
        <is>
          <t>Дроп-кабель, км</t>
        </is>
      </c>
      <c r="D93" s="222" t="n">
        <v>95.8</v>
      </c>
      <c r="E93" s="222" t="n">
        <v>170.7</v>
      </c>
      <c r="F93" s="222" t="n">
        <v>244</v>
      </c>
      <c r="G93" s="222" t="n">
        <v>116.3</v>
      </c>
      <c r="H93" s="229">
        <f>CHOOSE(MATCH(MIN(D93:G93),D93:G93,0),"A","B","C","D")</f>
        <v/>
      </c>
    </row>
    <row r="94" ht="18" customHeight="1" s="63">
      <c r="C94" s="114" t="inlineStr">
        <is>
          <t>ВСЕГО кабель + дропы, км</t>
        </is>
      </c>
      <c r="D94" s="224">
        <f>D90+D93</f>
        <v/>
      </c>
      <c r="E94" s="224">
        <f>E90+E93</f>
        <v/>
      </c>
      <c r="F94" s="224">
        <f>F90+F93</f>
        <v/>
      </c>
      <c r="G94" s="224">
        <f>G90+G93</f>
        <v/>
      </c>
      <c r="H94" s="230">
        <f>CHOOSE(MATCH(MIN(D94:G94),D94:G94,0),"A","B","C","D")</f>
        <v/>
      </c>
    </row>
    <row r="95" ht="18" customHeight="1" s="63">
      <c r="C95" s="112" t="inlineStr">
        <is>
          <t>Средний дроп, м</t>
        </is>
      </c>
      <c r="D95" s="220" t="n">
        <v>32.9</v>
      </c>
      <c r="E95" s="220" t="n">
        <v>58.7</v>
      </c>
      <c r="F95" s="220" t="n">
        <v>84</v>
      </c>
      <c r="G95" s="220" t="n">
        <v>40</v>
      </c>
      <c r="H95" s="229">
        <f>CHOOSE(MATCH(MIN(D95:G95),D95:G95,0),"A","B","C","D")</f>
        <v/>
      </c>
    </row>
    <row r="96" ht="18" customHeight="1" s="63">
      <c r="C96" s="114" t="inlineStr">
        <is>
          <t>Максимальный дроп, м</t>
        </is>
      </c>
      <c r="D96" s="221" t="n">
        <v>132.5</v>
      </c>
      <c r="E96" s="221" t="n">
        <v>201</v>
      </c>
      <c r="F96" s="221" t="n">
        <v>266</v>
      </c>
      <c r="G96" s="221" t="n">
        <v>132.5</v>
      </c>
      <c r="H96" s="230">
        <f>CHOOSE(MATCH(MIN(D96:G96),D96:G96,0),"A","B","C","D")</f>
        <v/>
      </c>
    </row>
    <row r="97" ht="18" customHeight="1" s="63">
      <c r="C97" s="112" t="inlineStr">
        <is>
          <t>Ср. маршрут волокна ДХ, м</t>
        </is>
      </c>
      <c r="D97" s="220" t="n">
        <v>1361</v>
      </c>
      <c r="E97" s="220" t="n"/>
      <c r="F97" s="220" t="n"/>
      <c r="G97" s="220" t="n">
        <v>304</v>
      </c>
      <c r="H97" s="229">
        <f>CHOOSE(MATCH(MIN(D97:G97),D97:G97,0),"A","B","C","D")</f>
        <v/>
      </c>
    </row>
    <row r="98" ht="18" customHeight="1" s="63">
      <c r="C98" s="114" t="inlineStr">
        <is>
          <t>ОРШ, шт</t>
        </is>
      </c>
      <c r="D98" s="221" t="n">
        <v>6</v>
      </c>
      <c r="E98" s="221" t="n">
        <v>6</v>
      </c>
      <c r="F98" s="221" t="n">
        <v>6</v>
      </c>
      <c r="G98" s="221" t="n">
        <v>34</v>
      </c>
      <c r="H98" s="230">
        <f>CHOOSE(MATCH(MIN(D98:G98),D98:G98,0),"A","B","C","D")</f>
        <v/>
      </c>
    </row>
    <row r="99" ht="18" customHeight="1" s="63">
      <c r="C99" s="112" t="inlineStr">
        <is>
          <t>РОР, шт</t>
        </is>
      </c>
      <c r="D99" s="220" t="n">
        <v>0</v>
      </c>
      <c r="E99" s="220" t="n">
        <v>515</v>
      </c>
      <c r="F99" s="220" t="n">
        <v>323</v>
      </c>
      <c r="G99" s="220" t="n">
        <v>0</v>
      </c>
      <c r="H99" s="229" t="n"/>
    </row>
    <row r="100" ht="18" customHeight="1" s="63">
      <c r="C100" s="114" t="inlineStr">
        <is>
          <t>Сплиттеры 1:64, шт</t>
        </is>
      </c>
      <c r="D100" s="221" t="n">
        <v>39</v>
      </c>
      <c r="E100" s="221" t="n">
        <v>0</v>
      </c>
      <c r="F100" s="221" t="n">
        <v>0</v>
      </c>
      <c r="G100" s="221" t="n">
        <v>58</v>
      </c>
      <c r="H100" s="230" t="n"/>
    </row>
    <row r="101" ht="18" customHeight="1" s="63">
      <c r="C101" s="112" t="inlineStr">
        <is>
          <t>Сплиттеры 1:8, шт</t>
        </is>
      </c>
      <c r="D101" s="220" t="n">
        <v>0</v>
      </c>
      <c r="E101" s="220" t="n">
        <v>581</v>
      </c>
      <c r="F101" s="220" t="n">
        <v>0</v>
      </c>
      <c r="G101" s="220" t="n">
        <v>0</v>
      </c>
      <c r="H101" s="229" t="n"/>
    </row>
    <row r="102" ht="18" customHeight="1" s="63">
      <c r="C102" s="114" t="inlineStr">
        <is>
          <t>Сплиттеры 1:4, шт</t>
        </is>
      </c>
      <c r="D102" s="221" t="n">
        <v>0</v>
      </c>
      <c r="E102" s="221" t="n">
        <v>0</v>
      </c>
      <c r="F102" s="221" t="n">
        <v>83</v>
      </c>
      <c r="G102" s="221" t="n">
        <v>0</v>
      </c>
      <c r="H102" s="230" t="n"/>
    </row>
    <row r="103" ht="18" customHeight="1" s="63">
      <c r="C103" s="112" t="inlineStr">
        <is>
          <t>Сплиттеры 1:16, шт</t>
        </is>
      </c>
      <c r="D103" s="220" t="n">
        <v>0</v>
      </c>
      <c r="E103" s="220" t="n">
        <v>0</v>
      </c>
      <c r="F103" s="220" t="n">
        <v>323</v>
      </c>
      <c r="G103" s="220" t="n">
        <v>0</v>
      </c>
      <c r="H103" s="229" t="n"/>
    </row>
    <row r="104" ht="18" customHeight="1" s="63">
      <c r="C104" s="114" t="inlineStr">
        <is>
          <t>Муфты, шт</t>
        </is>
      </c>
      <c r="D104" s="221" t="n">
        <v>1140</v>
      </c>
      <c r="E104" s="221" t="n">
        <v>115</v>
      </c>
      <c r="F104" s="221" t="n">
        <v>100</v>
      </c>
      <c r="G104" s="221" t="n">
        <v>1112</v>
      </c>
      <c r="H104" s="230">
        <f>CHOOSE(MATCH(MIN(D104:G104),D104:G104,0),"A","B","C","D")</f>
        <v/>
      </c>
    </row>
    <row r="105" ht="18" customHeight="1" s="63">
      <c r="C105" s="112" t="inlineStr">
        <is>
          <t>Сварки, шт</t>
        </is>
      </c>
      <c r="D105" s="220" t="n">
        <v>5136</v>
      </c>
      <c r="E105" s="220" t="n">
        <v>2585</v>
      </c>
      <c r="F105" s="220" t="n">
        <v>1552</v>
      </c>
      <c r="G105" s="220" t="n">
        <v>6213</v>
      </c>
      <c r="H105" s="229">
        <f>CHOOSE(MATCH(MIN(D105:G105),D105:G105,0),"A","B","C","D")</f>
        <v/>
      </c>
    </row>
    <row r="106" ht="18" customHeight="1" s="63">
      <c r="C106" s="114" t="inlineStr">
        <is>
          <t>Коннекторы FAST, шт</t>
        </is>
      </c>
      <c r="D106" s="221" t="n">
        <v>2569</v>
      </c>
      <c r="E106" s="221" t="n">
        <v>5136</v>
      </c>
      <c r="F106" s="221" t="n">
        <v>5136</v>
      </c>
      <c r="G106" s="221" t="n">
        <v>3044</v>
      </c>
      <c r="H106" s="230">
        <f>CHOOSE(MATCH(MIN(D106:G106),D106:G106,0),"A","B","C","D")</f>
        <v/>
      </c>
    </row>
    <row r="107" ht="18" customHeight="1" s="63">
      <c r="C107" s="112" t="inlineStr">
        <is>
          <t>Порты кросса ОРШ, шт</t>
        </is>
      </c>
      <c r="D107" s="220" t="n">
        <v>3600</v>
      </c>
      <c r="E107" s="220" t="n">
        <v>1008</v>
      </c>
      <c r="F107" s="220" t="n">
        <v>864</v>
      </c>
      <c r="G107" s="220" t="n">
        <v>4560</v>
      </c>
      <c r="H107" s="229">
        <f>CHOOSE(MATCH(MIN(D107:G107),D107:G107,0),"A","B","C","D")</f>
        <v/>
      </c>
    </row>
    <row r="108" ht="18" customHeight="1" s="63">
      <c r="C108" s="114" t="inlineStr">
        <is>
          <t>Порты OLT, шт</t>
        </is>
      </c>
      <c r="D108" s="221" t="n">
        <v>39</v>
      </c>
      <c r="E108" s="221" t="n">
        <v>66</v>
      </c>
      <c r="F108" s="221" t="n">
        <v>83</v>
      </c>
      <c r="G108" s="221" t="n">
        <v>58</v>
      </c>
      <c r="H108" s="230">
        <f>CHOOSE(MATCH(MIN(D108:G108),D108:G108,0),"A","B","C","D")</f>
        <v/>
      </c>
    </row>
    <row r="109" ht="18" customHeight="1" s="63">
      <c r="C109" s="112" t="inlineStr">
        <is>
          <t>Комплекты подвеса, шт</t>
        </is>
      </c>
      <c r="D109" s="220" t="n">
        <v>2911</v>
      </c>
      <c r="E109" s="220" t="n">
        <v>4180</v>
      </c>
      <c r="F109" s="220" t="n">
        <v>6136</v>
      </c>
      <c r="G109" s="220" t="n">
        <v>2341</v>
      </c>
      <c r="H109" s="229">
        <f>CHOOSE(MATCH(MIN(D109:G109),D109:G109,0),"A","B","C","D")</f>
        <v/>
      </c>
    </row>
    <row r="110" ht="18" customHeight="1" s="63">
      <c r="C110" s="114" t="inlineStr">
        <is>
          <t>Доп. шкафы ОРШ (сверх 6), шт</t>
        </is>
      </c>
      <c r="D110" s="221" t="n">
        <v>0</v>
      </c>
      <c r="E110" s="221" t="n">
        <v>0</v>
      </c>
      <c r="F110" s="221" t="n">
        <v>0</v>
      </c>
      <c r="G110" s="221" t="n">
        <v>28</v>
      </c>
      <c r="H110" s="230">
        <f>CHOOSE(MATCH(MIN(D110:G110),D110:G110,0),"A","B","C","D")</f>
        <v/>
      </c>
    </row>
    <row r="111" ht="14" customHeight="1" s="63">
      <c r="B111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13" ht="24" customHeight="1" s="63">
      <c r="B113" s="108" t="n"/>
      <c r="C113" s="108" t="inlineStr">
        <is>
          <t>Д. Ориентировочный индекс стоимости и чувствительность к цене ёмкости</t>
        </is>
      </c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</row>
    <row r="114" ht="28" customHeight="1" s="63">
      <c r="C114" s="111" t="inlineStr">
        <is>
          <t>Составляющая, у.е. (1 км кабеля 8F)</t>
        </is>
      </c>
      <c r="D114" s="111" t="inlineStr">
        <is>
          <t>A: централизо-ванная</t>
        </is>
      </c>
      <c r="E114" s="111" t="inlineStr">
        <is>
          <t>B: каскад 1:8+1:8</t>
        </is>
      </c>
      <c r="F114" s="111" t="inlineStr">
        <is>
          <t>C: каскад 1:4+1:16</t>
        </is>
      </c>
      <c r="G114" s="111" t="inlineStr">
        <is>
          <t>D: зонные ОРШ</t>
        </is>
      </c>
    </row>
    <row r="115" ht="18" customHeight="1" s="63">
      <c r="C115" s="112" t="inlineStr">
        <is>
          <t>Кабельная продукция (магистраль)</t>
        </is>
      </c>
      <c r="D115" s="222" t="n">
        <v>233</v>
      </c>
      <c r="E115" s="222" t="n">
        <v>107</v>
      </c>
      <c r="F115" s="222" t="n">
        <v>88.90000000000001</v>
      </c>
      <c r="G115" s="222" t="n">
        <v>127.5</v>
      </c>
    </row>
    <row r="116" ht="18" customHeight="1" s="63">
      <c r="C116" s="114" t="inlineStr">
        <is>
          <t>Дроп-кабели</t>
        </is>
      </c>
      <c r="D116" s="224" t="n">
        <v>47.9</v>
      </c>
      <c r="E116" s="224" t="n">
        <v>85.3</v>
      </c>
      <c r="F116" s="224" t="n">
        <v>122</v>
      </c>
      <c r="G116" s="224" t="n">
        <v>58.1</v>
      </c>
    </row>
    <row r="117" ht="18" customHeight="1" s="63">
      <c r="C117" s="112" t="inlineStr">
        <is>
          <t>Оборудование и монтаж</t>
        </is>
      </c>
      <c r="D117" s="222" t="n">
        <v>315</v>
      </c>
      <c r="E117" s="222" t="n">
        <v>306.2</v>
      </c>
      <c r="F117" s="222" t="n">
        <v>270.8</v>
      </c>
      <c r="G117" s="222" t="n">
        <v>348.8</v>
      </c>
    </row>
    <row r="118">
      <c r="C118" s="108" t="inlineStr">
        <is>
          <t>ИТОГО</t>
        </is>
      </c>
      <c r="D118" s="132">
        <f>SUM(D115:D117)</f>
        <v/>
      </c>
      <c r="E118" s="132">
        <f>SUM(E115:E117)</f>
        <v/>
      </c>
      <c r="F118" s="132">
        <f>SUM(F115:F117)</f>
        <v/>
      </c>
      <c r="G118" s="132">
        <f>SUM(G115:G117)</f>
        <v/>
      </c>
    </row>
    <row r="119">
      <c r="C119" s="114" t="inlineStr">
        <is>
          <t>Доп. шкафы ОРШ (сверх базовых 6, по 1,5 у.е.)</t>
        </is>
      </c>
      <c r="D119" s="224" t="n">
        <v>0</v>
      </c>
      <c r="E119" s="224" t="n">
        <v>0</v>
      </c>
      <c r="F119" s="224" t="n">
        <v>0</v>
      </c>
      <c r="G119" s="224" t="n">
        <v>42</v>
      </c>
    </row>
    <row r="120">
      <c r="C120" s="108" t="inlineStr">
        <is>
          <t>ИТОГО с доп. шкафами</t>
        </is>
      </c>
      <c r="D120" s="132">
        <f>D118+D119</f>
        <v/>
      </c>
      <c r="E120" s="132">
        <f>E118+E119</f>
        <v/>
      </c>
      <c r="F120" s="132">
        <f>F118+F119</f>
        <v/>
      </c>
      <c r="G120" s="132">
        <f>G118+G119</f>
        <v/>
      </c>
    </row>
    <row r="121">
      <c r="C121" s="112" t="inlineStr">
        <is>
          <t>Δ к лучшей схеме</t>
        </is>
      </c>
      <c r="D121" s="223">
        <f>D120/MIN($D$120:$G$120)-1</f>
        <v/>
      </c>
      <c r="E121" s="223">
        <f>E120/MIN($D$120:$G$120)-1</f>
        <v/>
      </c>
      <c r="F121" s="223">
        <f>F120/MIN($D$120:$G$120)-1</f>
        <v/>
      </c>
      <c r="G121" s="223">
        <f>G120/MIN($D$120:$G$120)-1</f>
        <v/>
      </c>
    </row>
    <row r="122" ht="14" customHeight="1" s="63">
      <c r="B122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24" ht="28" customHeight="1" s="63">
      <c r="C124" s="111" t="inlineStr">
        <is>
          <t>Показатель цены k</t>
        </is>
      </c>
      <c r="D124" s="111" t="inlineStr">
        <is>
          <t>A: централизо-ванная</t>
        </is>
      </c>
      <c r="E124" s="111" t="inlineStr">
        <is>
          <t>B: каскад 1:8+1:8</t>
        </is>
      </c>
      <c r="F124" s="111" t="inlineStr">
        <is>
          <t>C: каскад 1:4+1:16</t>
        </is>
      </c>
      <c r="G124" s="111" t="inlineStr">
        <is>
          <t>D: зонные ОРШ</t>
        </is>
      </c>
      <c r="H124" s="111" t="inlineStr">
        <is>
          <t>Лучшая</t>
        </is>
      </c>
    </row>
    <row r="125" ht="18" customHeight="1" s="63">
      <c r="C125" s="232" t="n">
        <v>0</v>
      </c>
      <c r="D125" s="220" t="n">
        <v>520.2</v>
      </c>
      <c r="E125" s="220" t="n">
        <v>553.4</v>
      </c>
      <c r="F125" s="220" t="n">
        <v>585.9</v>
      </c>
      <c r="G125" s="220" t="n">
        <v>595.4</v>
      </c>
      <c r="H125" s="229">
        <f>CHOOSE(MATCH(MIN(D125:G125),D125:G125,0),"A","B","C","D")</f>
        <v/>
      </c>
    </row>
    <row r="126" ht="18" customHeight="1" s="63">
      <c r="C126" s="233" t="n">
        <v>0.3</v>
      </c>
      <c r="D126" s="221" t="n">
        <v>545.2</v>
      </c>
      <c r="E126" s="221" t="n">
        <v>510.5</v>
      </c>
      <c r="F126" s="221" t="n">
        <v>511.9</v>
      </c>
      <c r="G126" s="221" t="n">
        <v>575.8</v>
      </c>
      <c r="H126" s="230">
        <f>CHOOSE(MATCH(MIN(D126:G126),D126:G126,0),"A","B","C","D")</f>
        <v/>
      </c>
    </row>
    <row r="127" ht="18" customHeight="1" s="63">
      <c r="C127" s="232" t="n">
        <v>0.5</v>
      </c>
      <c r="D127" s="220" t="n">
        <v>595.9</v>
      </c>
      <c r="E127" s="220" t="n">
        <v>498.6</v>
      </c>
      <c r="F127" s="220" t="n">
        <v>481.6</v>
      </c>
      <c r="G127" s="220" t="n">
        <v>576.5</v>
      </c>
      <c r="H127" s="229">
        <f>CHOOSE(MATCH(MIN(D127:G127),D127:G127,0),"A","B","C","D")</f>
        <v/>
      </c>
    </row>
    <row r="128" ht="18" customHeight="1" s="63">
      <c r="C128" s="233" t="n">
        <v>0.7</v>
      </c>
      <c r="D128" s="221" t="n">
        <v>688</v>
      </c>
      <c r="E128" s="221" t="n">
        <v>500.1</v>
      </c>
      <c r="F128" s="221" t="n">
        <v>464</v>
      </c>
      <c r="G128" s="221" t="n">
        <v>588.5</v>
      </c>
      <c r="H128" s="230">
        <f>CHOOSE(MATCH(MIN(D128:G128),D128:G128,0),"A","B","C","D")</f>
        <v/>
      </c>
    </row>
    <row r="129" ht="18" customHeight="1" s="63">
      <c r="C129" s="232" t="n">
        <v>1</v>
      </c>
      <c r="D129" s="220" t="n">
        <v>955</v>
      </c>
      <c r="E129" s="220" t="n">
        <v>531.4</v>
      </c>
      <c r="F129" s="220" t="n">
        <v>459.4</v>
      </c>
      <c r="G129" s="220" t="n">
        <v>632.2</v>
      </c>
      <c r="H129" s="229">
        <f>CHOOSE(MATCH(MIN(D129:G129),D129:G129,0),"A","B","C","D")</f>
        <v/>
      </c>
    </row>
    <row r="130" ht="14" customHeight="1" s="63">
      <c r="B130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32" ht="24" customHeight="1" s="63">
      <c r="B132" s="108" t="n"/>
      <c r="C132" s="108" t="inlineStr">
        <is>
          <t>Е. Вывод</t>
        </is>
      </c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</row>
    <row r="133" ht="36" customHeight="1" s="63">
      <c r="B133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34" ht="50" customHeight="1" s="63">
      <c r="B134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35" ht="50" customHeight="1" s="63">
      <c r="B135" s="135" t="inlineStr">
        <is>
          <t>Цена децентрализации — оборудование: 34 ОРШ вместо 6 (28 доп. шкафов, +42 у.е.), 58 сплиттеров, 4 560 портов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36" ht="36" customHeight="1" s="63">
      <c r="B136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37" ht="50" customHeight="1" s="63">
      <c r="B137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38" ht="50" customHeight="1" s="63">
      <c r="B138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37:N137"/>
    <mergeCell ref="D10:N10"/>
    <mergeCell ref="B133:N133"/>
    <mergeCell ref="D6:N6"/>
    <mergeCell ref="D11:N11"/>
    <mergeCell ref="B135:N135"/>
    <mergeCell ref="B138:N138"/>
    <mergeCell ref="D13:N13"/>
    <mergeCell ref="B134:N134"/>
    <mergeCell ref="B122:N122"/>
    <mergeCell ref="D7:N7"/>
    <mergeCell ref="B130:N130"/>
    <mergeCell ref="B2:N2"/>
    <mergeCell ref="B111:N111"/>
    <mergeCell ref="D9:N9"/>
    <mergeCell ref="D12:N12"/>
    <mergeCell ref="B136:N136"/>
    <mergeCell ref="D8:N8"/>
    <mergeCell ref="B53:N53"/>
    <mergeCell ref="D14:N14"/>
    <mergeCell ref="B69:N6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>
      <c r="B49" s="108" t="n"/>
      <c r="C49" s="108" t="inlineStr">
        <is>
          <t>9. Сводная материалов и карты зон схемы D</t>
        </is>
      </c>
      <c r="D49" s="108" t="n"/>
    </row>
    <row r="50" ht="64" customHeight="1" s="63">
      <c r="B50" s="144" t="n">
        <v>37</v>
      </c>
      <c r="C50" s="110" t="inlineStr">
        <is>
          <t>Состав позиций</t>
        </is>
      </c>
      <c r="D50" s="110" t="inlineStr">
        <is>
          <t>Лист «Сводная (схема D)» повторяет формат сводной схемы C: 4 секции, 24 позиции, графы шести СНП и ИТОГО (формулы SUM). Отличия от каскадной схемы: нет РОР и сплиттеров 2-й ступени; добавлены зонные уличные шкафы (26 шт.) отдельной позицией; дроп-кабель без подводок РОР→ДХ (95,8 км — как в централизованной, дроп идёт от муфты напрямую); коннекторы 1,1 × ДХ.</t>
        </is>
      </c>
    </row>
    <row r="51" ht="78" customHeight="1" s="63">
      <c r="B51" s="145" t="n">
        <v>38</v>
      </c>
      <c r="C51" s="109" t="inlineStr">
        <is>
          <t>Нормы схемы D</t>
        </is>
      </c>
      <c r="D51" s="109" t="inlineStr">
        <is>
          <t>Волокна участка = распределительные max(8; ceil(1,25 × ДХ потока зоны)) от ОРШ-медианы + фидерные ceil(1,25 × сплиттеры зоны) на кратчайшем пути ЦУ → зонный ОРШ (Дейкстра в границе НП); разложение 8-96 волокон. Сварки = (2 × ДХ + 2 × сплиттеры 1:64) × 1,1; пигтейли = ДХ + 2 × сплиттеры; подвесы 30/км магистрали. Ёмкости и длины кабелей — из расчёта топологии v4 (boq_decentral_data_v4.json: уточнённая детекция ДХ — сблокированные дома по крышам/заборам, квартиры многоэтажек), инварианты к схемам A/B/C по ДХ, дропам и трассе соблюдены.</t>
        </is>
      </c>
    </row>
    <row r="52" ht="78" customHeight="1" s="63">
      <c r="B52" s="144" t="n">
        <v>39</v>
      </c>
      <c r="C52" s="110" t="inlineStr">
        <is>
          <t>Карты зон ОРШ</t>
        </is>
      </c>
      <c r="D52" s="110" t="inlineStr">
        <is>
          <t>Шесть карт download/snp_vko/&lt;NN&gt;_&lt;СНП&gt;_зоны_ОРШ_схема_D.jpg (спутник Google z18): цветная зона каждого ОРШ — оболочка обслуживаемых ДХ; ствол сети — серым; распределительная сеть зоны — цветом зоны; фидер ЦУ → зонный ОРШ — пунктиром цвета зоны по кратчайшей трассе; граница НП — белым пунктиром; дропы — жёлтым; муфты — бирюзовые квадраты; зонные ОРШ — цветные шкафы в центрах секторов с подписью «ОРШ-N, N ДХ»; ЦУ — красная звезда. Совмещение сети со спутником проверено (NCC 0 px, визуальный контроль).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2026-09-22T17:44:21Z</dcterms:modified>
  <cp:revision>18</cp:revision>
</cp:coreProperties>
</file>