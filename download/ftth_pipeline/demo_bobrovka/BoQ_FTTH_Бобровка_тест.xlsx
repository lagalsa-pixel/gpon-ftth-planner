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водная (схема D)" sheetId="1" state="visible" r:id="rId3"/>
    <sheet name="Параметры сетей" sheetId="2" state="visible" r:id="rId4"/>
    <sheet name="Схемы A и D" sheetId="3" state="visible" r:id="rId5"/>
    <sheet name="Методика" sheetId="4" state="visible" r:id="rId6"/>
  </sheets>
  <definedNames>
    <definedName function="false" hidden="false" localSheetId="0" name="_xlnm.Print_Titles" vbProcedure="false">'Сводная (схема D)'!$4:$4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<sst xmlns="http://schemas.openxmlformats.org/spreadsheetml/2006/main" count="173" uniqueCount="140">
  <si>
    <t xml:space="preserve">Сводная таблица материалов — FTTH (GPON), схема D: зонные ОРШ, единый узел OLT — 1 СНП</t>
  </si>
  <si>
    <t xml:space="preserve">Сеть спроектирована по спутниковым снимкам с привязкой к дорогам OSM • допущения — лист «Методика» • подготовлено 18.09.2026</t>
  </si>
  <si>
    <t xml:space="preserve">№</t>
  </si>
  <si>
    <t xml:space="preserve">Наименование</t>
  </si>
  <si>
    <t xml:space="preserve">Ед. изм.</t>
  </si>
  <si>
    <t xml:space="preserve">Расчёт / норма</t>
  </si>
  <si>
    <t xml:space="preserve">Бобровка</t>
  </si>
  <si>
    <t xml:space="preserve">ИТОГО</t>
  </si>
  <si>
    <t xml:space="preserve">А. Оборудование и узлы</t>
  </si>
  <si>
    <t xml:space="preserve">Шкаф ОРШ на здании ЦУ (основа сети, единый узел OLT)</t>
  </si>
  <si>
    <t xml:space="preserve">шт</t>
  </si>
  <si>
    <t xml:space="preserve">1 на СНП (здание-якорь по проекту)</t>
  </si>
  <si>
    <t xml:space="preserve">Шкаф ОРШ зонный уличный (в муфте ветвления)</t>
  </si>
  <si>
    <t xml:space="preserve">по разбиению на зоны (S_MIN = 15 волокно-км)</t>
  </si>
  <si>
    <t xml:space="preserve">Сплиттер PLC 1×64 (в ЦУ и зонных ОРШ)</t>
  </si>
  <si>
    <t xml:space="preserve">Σ ceil(ДХ зоны / 64)</t>
  </si>
  <si>
    <t xml:space="preserve">Пигтейль SC/UPC для кроссов ОРШ</t>
  </si>
  <si>
    <t xml:space="preserve">ДХ + 2 × сплиттеры</t>
  </si>
  <si>
    <t xml:space="preserve">Порт PON OLT — справочно (активное оборудование)</t>
  </si>
  <si>
    <t xml:space="preserve">по числу сплиттеров 1:64</t>
  </si>
  <si>
    <t xml:space="preserve">Б. Кабельная продукция (длины с запасом на монтаж 10 %)</t>
  </si>
  <si>
    <t xml:space="preserve">Кабель оптический самонесущий, 8 волокон</t>
  </si>
  <si>
    <t xml:space="preserve">км</t>
  </si>
  <si>
    <t xml:space="preserve">волокна участка = 1,25 × ДХ потока</t>
  </si>
  <si>
    <t xml:space="preserve">Кабель оптический самонесущий, 12 волокон</t>
  </si>
  <si>
    <t xml:space="preserve">Кабель оптический самонесущий, 16 волокон</t>
  </si>
  <si>
    <t xml:space="preserve">Кабель оптический самонесущий, 24 волокон</t>
  </si>
  <si>
    <t xml:space="preserve">Кабель оптический самонесущий, 32 волокон</t>
  </si>
  <si>
    <t xml:space="preserve">Кабель оптический самонесущий, 48 волокон</t>
  </si>
  <si>
    <t xml:space="preserve">Кабель оптический самонесущий, 64 волокон</t>
  </si>
  <si>
    <t xml:space="preserve">Кабель оптический самонесущий, 72 волокон</t>
  </si>
  <si>
    <t xml:space="preserve">Кабель оптический самонесущий, 96 волокон</t>
  </si>
  <si>
    <t xml:space="preserve">Кабель дроп-кабельный самонесущий, 2 волокна (1 раб. + 1 рез.)</t>
  </si>
  <si>
    <t xml:space="preserve">Σ длин дропов × 1,05</t>
  </si>
  <si>
    <t xml:space="preserve">Справочно: суммарная ёмкость магистрального кабеля</t>
  </si>
  <si>
    <t xml:space="preserve">волокно-км</t>
  </si>
  <si>
    <t xml:space="preserve">Σ (длина участка × волокна)</t>
  </si>
  <si>
    <t xml:space="preserve">В. Пассивные узлы</t>
  </si>
  <si>
    <t xml:space="preserve">Муфта оптическая (проходная / тупиковая)</t>
  </si>
  <si>
    <t xml:space="preserve">ветвления и подключения (кроме узлов, ставших зонными ОРШ)</t>
  </si>
  <si>
    <t xml:space="preserve">Г. Материалы для монтажа</t>
  </si>
  <si>
    <t xml:space="preserve">Бокс абонентский оптический с адаптером SC/UPC</t>
  </si>
  <si>
    <t xml:space="preserve">1 на ДХ</t>
  </si>
  <si>
    <t xml:space="preserve">Коннектор оптический механический SC/UPC</t>
  </si>
  <si>
    <t xml:space="preserve">ДХ × 1,1</t>
  </si>
  <si>
    <t xml:space="preserve">Сварное соединение (оценка объёма работ)</t>
  </si>
  <si>
    <t xml:space="preserve">(2 × ДХ + 2 × сплиттеры) × 1,1</t>
  </si>
  <si>
    <t xml:space="preserve">Гильза КДЗС, 60 мм</t>
  </si>
  <si>
    <t xml:space="preserve">по числу сварных соединений</t>
  </si>
  <si>
    <t xml:space="preserve">Комплект подвеса магистрали (кронштейн + спиральный зажим)</t>
  </si>
  <si>
    <t xml:space="preserve">компл</t>
  </si>
  <si>
    <t xml:space="preserve">30 на 1 км кабеля</t>
  </si>
  <si>
    <t xml:space="preserve">Анкерный зажим дроп-кабеля</t>
  </si>
  <si>
    <t xml:space="preserve">2 на ДХ</t>
  </si>
  <si>
    <t xml:space="preserve">Крепёж дроп-кабеля (скобы / хомуты)</t>
  </si>
  <si>
    <t xml:space="preserve">6 на ДХ</t>
  </si>
  <si>
    <t xml:space="preserve">Значения в графах сел — потребность по проекту; графа «ИТОГО» — сумма по всем СНП. Единицы измерения разнородны, итог по столбцам не приводится.</t>
  </si>
  <si>
    <t xml:space="preserve">Позиция А.5 (порты PON OLT) — справочно, активное оборудование. Нормы и допущения — лист «Методика»; параметры сетей — лист «Параметры сетей».</t>
  </si>
  <si>
    <t xml:space="preserve">Фидер ЦУ → зонный ОРШ идёт по дереву сети совместно с распределительными волокнами; межселённый транспорт до ЦУ — за рамками расчёта.</t>
  </si>
  <si>
    <t xml:space="preserve">Параметры спроектированных FTTH-сетей по СНП (схема D)</t>
  </si>
  <si>
    <t xml:space="preserve">ДХ — домохозяйства. «Верхний участок» — максимум волокон на участке; «маршрут волокна» — от обслуживающего ОРШ зоны до муфты ДХ. Подготовлено 18.09.2026</t>
  </si>
  <si>
    <t xml:space="preserve">СНП</t>
  </si>
  <si>
    <t xml:space="preserve">Район / с.о.</t>
  </si>
  <si>
    <t xml:space="preserve">ДХ (заказ)</t>
  </si>
  <si>
    <t xml:space="preserve">ДХ (проект)</t>
  </si>
  <si>
    <t xml:space="preserve">Δ к заказу</t>
  </si>
  <si>
    <t xml:space="preserve">Зонных ОРШ</t>
  </si>
  <si>
    <t xml:space="preserve">Муфты</t>
  </si>
  <si>
    <t xml:space="preserve">Магистраль, км</t>
  </si>
  <si>
    <t xml:space="preserve">Дропы, км</t>
  </si>
  <si>
    <t xml:space="preserve">Ср. дроп, м</t>
  </si>
  <si>
    <t xml:space="preserve">Макс. дроп, м</t>
  </si>
  <si>
    <t xml:space="preserve">Волокно-км (D)</t>
  </si>
  <si>
    <t xml:space="preserve">Волокно-км (A)</t>
  </si>
  <si>
    <t xml:space="preserve">Сплиттеры 1:64</t>
  </si>
  <si>
    <t xml:space="preserve">Верх. участок, волокон</t>
  </si>
  <si>
    <t xml:space="preserve">Ср. маршрут волокна, м</t>
  </si>
  <si>
    <t xml:space="preserve">01</t>
  </si>
  <si>
    <t xml:space="preserve">Глубоковский р-н / Бобровский с.о.</t>
  </si>
  <si>
    <t xml:space="preserve">Сравнение схем: централизованная (A) и децентрализованная (D)</t>
  </si>
  <si>
    <t xml:space="preserve">Топология сетей, муфты и дропы в обеих схемах одинаковы — различается размещение сплиттеров и формирование ёмкостей. Подготовлено 18.09.2026</t>
  </si>
  <si>
    <t xml:space="preserve">Показатель</t>
  </si>
  <si>
    <t xml:space="preserve">A — централизованная 1:64</t>
  </si>
  <si>
    <t xml:space="preserve">D — зонные ОРШ 1:64</t>
  </si>
  <si>
    <t xml:space="preserve">Δ D к A</t>
  </si>
  <si>
    <t xml:space="preserve">Обслуживаемые ДХ</t>
  </si>
  <si>
    <t xml:space="preserve">ОРШ (шкафы), шт</t>
  </si>
  <si>
    <t xml:space="preserve">Волокно-км магистрали</t>
  </si>
  <si>
    <t xml:space="preserve">Магистральный кабель (с запасом 10 %), км</t>
  </si>
  <si>
    <t xml:space="preserve">Дроп-кабель (с запасом 5 %), км</t>
  </si>
  <si>
    <t xml:space="preserve">ВСЕГО кабельной продукции, км</t>
  </si>
  <si>
    <t xml:space="preserve">Муфты, шт</t>
  </si>
  <si>
    <t xml:space="preserve">Сплиттеры 1:64, шт</t>
  </si>
  <si>
    <t xml:space="preserve">Сварные соединения, шт</t>
  </si>
  <si>
    <t xml:space="preserve">Кросс ОРШ, портов</t>
  </si>
  <si>
    <t xml:space="preserve">Схема D минимизирует суммарную длину кабельной продукции и волокно-км; схема A проще в эксплуатации (все сплиттеры в ЦУ, OTDR-тест из одной точки), но требует больших ёмкостей магистрали у ЦУ.</t>
  </si>
  <si>
    <t xml:space="preserve">Методика расчёта и принятые допущения</t>
  </si>
  <si>
    <t xml:space="preserve">Расчёт выполнен по геометрии спроектированных сетей (ЦУ → зонные ОРШ → муфты → ДХ). Подготовлено 18.09.2026</t>
  </si>
  <si>
    <t xml:space="preserve">Положение</t>
  </si>
  <si>
    <t xml:space="preserve">Принято / описание</t>
  </si>
  <si>
    <t xml:space="preserve">1. Исходные данные</t>
  </si>
  <si>
    <t xml:space="preserve">Геометрия сетей</t>
  </si>
  <si>
    <t xml:space="preserve">Проектные FTTH-сети построены по спутниковым снимкам высокого разрешения (Google z18, ~0,38 м/px) с привязкой к дорожной сети OSM; дропы проложены вдоль улиц, дворов и фасадов, все ветвления — в муфтах.</t>
  </si>
  <si>
    <t xml:space="preserve">Число ДХ по данным заказа</t>
  </si>
  <si>
    <t xml:space="preserve">900 по всем СНП (см. config проекта).</t>
  </si>
  <si>
    <t xml:space="preserve">Обслужено проектом</t>
  </si>
  <si>
    <t xml:space="preserve">817 ДХ. Отклонения от данных заказа связаны с покрытием дорог OSM и фактической застройкой; при больших расхождениях проверьте домохозяйства по превью стадии households.</t>
  </si>
  <si>
    <t xml:space="preserve">Длины</t>
  </si>
  <si>
    <t xml:space="preserve">Длины участков и дропов — по геометрии проекта с пересчётом пикселей в метры по масштабу мозаики.</t>
  </si>
  <si>
    <t xml:space="preserve">2. Архитектура (схема D)</t>
  </si>
  <si>
    <t xml:space="preserve">Схема сети</t>
  </si>
  <si>
    <t xml:space="preserve">GPON, децентрализованная: дерево села режется на зоны, в корне зоны (существующая муфта ветвления) ставится зонный ОРШ со сплиттерами 1:64 своей зоны; единый узел OLT; фидер от ЦУ к зонным ОРШ идёт по дереву сети.</t>
  </si>
  <si>
    <t xml:space="preserve">Разбиение на зоны</t>
  </si>
  <si>
    <t xml:space="preserve">Жадный выбор врезов по максимальной маржинальной экономии волокно-км; зона &gt;= 48 ДХ (заполнение сплиттера 1:64 &gt;= 75 %); экономия вреза &gt;= S_MIN = 15 волокно-км (порог окупаемости шкафа).</t>
  </si>
  <si>
    <t xml:space="preserve">Дроп-линия</t>
  </si>
  <si>
    <t xml:space="preserve">Дроп-кабель 2-волоконный (1 рабочее + 1 резервное), самонесущий, от обслуживающей муфты вдоль улицы/двора к зданию.</t>
  </si>
  <si>
    <t xml:space="preserve">3. Кабельная продукция</t>
  </si>
  <si>
    <t xml:space="preserve">Магистральный кабель</t>
  </si>
  <si>
    <t xml:space="preserve">Самонесущий, стандартные ёмкости 8 / 12 / 16 / 24 / 32 / 48 / 64 / 72 / 96 волокон; при потребности свыше 96 — параллельная прокладка кабелей меньшей ёмкости.</t>
  </si>
  <si>
    <t xml:space="preserve">Число волокон на участке</t>
  </si>
  <si>
    <t xml:space="preserve">ДХ ниже по потоку × 1.25 (резерв 25 %), минимум 8 волокон; фидер зоны добавляется к распределительным волокнам на общих участках.</t>
  </si>
  <si>
    <t xml:space="preserve">Запас на монтаж</t>
  </si>
  <si>
    <t xml:space="preserve">+10 % к магистрали и +5 % к дроп-кабелю; округление вверх до 0,1 км.</t>
  </si>
  <si>
    <t xml:space="preserve">Справочно</t>
  </si>
  <si>
    <t xml:space="preserve">Суммарная ёмкость магистрали — 684.3 волокно-км (централизованная схема: 2535.2).</t>
  </si>
  <si>
    <t xml:space="preserve">4. Узлы и монтажные нормы</t>
  </si>
  <si>
    <t xml:space="preserve">Все точки ветвления магистрали и подключения групп дропов, кроме узлов, получивших зонный ОРШ. Тип муфты и ёмкость — по рабочему проекту.</t>
  </si>
  <si>
    <t xml:space="preserve">ОРШ</t>
  </si>
  <si>
    <t xml:space="preserve">ЦУ — на здании-якоре в центре села; зонные — уличные шкафы в муфтах ветвления. Ёмкость портов — ДХ × 1,1 с округлением вверх до ряда 48 / 96 / 144 / 288 / 576 (зонные) и 144 / 288 / 576 / 864 / 1152 (ЦУ).</t>
  </si>
  <si>
    <t xml:space="preserve">Сварные соединения</t>
  </si>
  <si>
    <t xml:space="preserve">(2 × ДХ + 2 × сплиттеры) × 1.1; гильзы КДЗС — по числу сварок.</t>
  </si>
  <si>
    <t xml:space="preserve">Подвес магистрали</t>
  </si>
  <si>
    <t xml:space="preserve">30 комплектов на 1 км кабеля; новые опоры не предусмотрены — предполагается использование существующих опорных конструкций.</t>
  </si>
  <si>
    <t xml:space="preserve">Крепёж дропа</t>
  </si>
  <si>
    <t xml:space="preserve">2 анкерных зажима и 6 промежуточных креплений на одно ДХ.</t>
  </si>
  <si>
    <t xml:space="preserve">5. Прочее</t>
  </si>
  <si>
    <t xml:space="preserve">Активное оборудование</t>
  </si>
  <si>
    <t xml:space="preserve">Порты PON OLT приведены справочно; модель и комплектацию уточняет заказчик.</t>
  </si>
  <si>
    <t xml:space="preserve">За рамками расчёта</t>
  </si>
  <si>
    <t xml:space="preserve">Межселённый транспорт до ЦУ, строительство/аренда опор, заземление, оборудование абонентов (ONT), СМР, накладные расходы.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</si>
</sst>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#,##0.0"/>
    <numFmt numFmtId="167" formatCode="\+0.0%;\-0.0%;0.0%"/>
    <numFmt numFmtId="168" formatCode="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2A4A"/>
      <name val="Calibri"/>
      <family val="0"/>
      <charset val="1"/>
    </font>
    <font>
      <sz val="9"/>
      <color rgb="FF8C8A84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1B2A4A"/>
      <name val="Calibri"/>
      <family val="0"/>
      <charset val="1"/>
    </font>
    <font>
      <sz val="11"/>
      <color rgb="FF37352F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B2A4A"/>
        <bgColor rgb="FF37352F"/>
      </patternFill>
    </fill>
    <fill>
      <patternFill patternType="solid">
        <fgColor rgb="FFD6E4F0"/>
        <bgColor rgb="FFE9E9E8"/>
      </patternFill>
    </fill>
    <fill>
      <patternFill patternType="solid">
        <fgColor rgb="FFFFFFFF"/>
        <bgColor rgb="FFF7F7F5"/>
      </patternFill>
    </fill>
    <fill>
      <patternFill patternType="solid">
        <fgColor rgb="FFF7F7F5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9E9E8"/>
      </bottom>
      <diagonal/>
    </border>
    <border diagonalUp="false" diagonalDown="false">
      <left/>
      <right/>
      <top style="medium">
        <color rgb="FFE9E9E8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8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7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8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7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7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7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8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8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C8A84"/>
      <rgbColor rgb="FF9999FF"/>
      <rgbColor rgb="FF993366"/>
      <rgbColor rgb="FFF7F7F5"/>
      <rgbColor rgb="FFE9E9E8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2A4A"/>
      <rgbColor rgb="FF339966"/>
      <rgbColor rgb="FF003300"/>
      <rgbColor rgb="FF333300"/>
      <rgbColor rgb="FF993300"/>
      <rgbColor rgb="FF993366"/>
      <rgbColor rgb="FF333399"/>
      <rgbColor rgb="FF3735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44"/>
    <col collapsed="false" customWidth="true" hidden="false" outlineLevel="0" max="4" min="4" style="0" width="9"/>
    <col collapsed="false" customWidth="true" hidden="false" outlineLevel="0" max="5" min="5" style="0" width="26"/>
    <col collapsed="false" customWidth="true" hidden="false" outlineLevel="0" max="7" min="6" style="0" width="12.5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1" t="s">
        <v>0</v>
      </c>
      <c r="C2" s="1"/>
      <c r="D2" s="1"/>
      <c r="E2" s="1"/>
      <c r="F2" s="1"/>
      <c r="G2" s="1"/>
    </row>
    <row r="3" customFormat="false" ht="13.5" hidden="false" customHeight="true" outlineLevel="0" collapsed="false">
      <c r="B3" s="2" t="s">
        <v>1</v>
      </c>
    </row>
    <row r="4" customFormat="false" ht="27.75" hidden="false" customHeight="true" outlineLevel="0" collapsed="false"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</row>
    <row r="5" customFormat="false" ht="24" hidden="false" customHeight="true" outlineLevel="0" collapsed="false">
      <c r="B5" s="4"/>
      <c r="C5" s="4" t="s">
        <v>8</v>
      </c>
      <c r="D5" s="4"/>
      <c r="E5" s="4"/>
      <c r="F5" s="4"/>
      <c r="G5" s="4"/>
    </row>
    <row r="6" customFormat="false" ht="24" hidden="false" customHeight="true" outlineLevel="0" collapsed="false">
      <c r="B6" s="5" t="n">
        <v>1</v>
      </c>
      <c r="C6" s="6" t="s">
        <v>9</v>
      </c>
      <c r="D6" s="5" t="s">
        <v>10</v>
      </c>
      <c r="E6" s="6" t="s">
        <v>11</v>
      </c>
      <c r="F6" s="7" t="n">
        <v>1</v>
      </c>
      <c r="G6" s="8" t="n">
        <f aca="false">SUM(F6)</f>
        <v>1</v>
      </c>
    </row>
    <row r="7" customFormat="false" ht="24" hidden="false" customHeight="true" outlineLevel="0" collapsed="false">
      <c r="B7" s="9" t="n">
        <v>2</v>
      </c>
      <c r="C7" s="10" t="s">
        <v>12</v>
      </c>
      <c r="D7" s="9" t="s">
        <v>10</v>
      </c>
      <c r="E7" s="10" t="s">
        <v>13</v>
      </c>
      <c r="F7" s="11" t="n">
        <v>14</v>
      </c>
      <c r="G7" s="12" t="n">
        <f aca="false">SUM(F7)</f>
        <v>14</v>
      </c>
    </row>
    <row r="8" customFormat="false" ht="24" hidden="false" customHeight="true" outlineLevel="0" collapsed="false">
      <c r="B8" s="5" t="n">
        <v>3</v>
      </c>
      <c r="C8" s="6" t="s">
        <v>14</v>
      </c>
      <c r="D8" s="5" t="s">
        <v>10</v>
      </c>
      <c r="E8" s="6" t="s">
        <v>15</v>
      </c>
      <c r="F8" s="7" t="n">
        <v>17</v>
      </c>
      <c r="G8" s="8" t="n">
        <f aca="false">SUM(F8)</f>
        <v>17</v>
      </c>
    </row>
    <row r="9" customFormat="false" ht="24" hidden="false" customHeight="true" outlineLevel="0" collapsed="false">
      <c r="B9" s="9" t="n">
        <v>4</v>
      </c>
      <c r="C9" s="10" t="s">
        <v>16</v>
      </c>
      <c r="D9" s="9" t="s">
        <v>10</v>
      </c>
      <c r="E9" s="10" t="s">
        <v>17</v>
      </c>
      <c r="F9" s="11" t="n">
        <v>851</v>
      </c>
      <c r="G9" s="12" t="n">
        <f aca="false">SUM(F9)</f>
        <v>851</v>
      </c>
    </row>
    <row r="10" customFormat="false" ht="24" hidden="false" customHeight="true" outlineLevel="0" collapsed="false">
      <c r="B10" s="5" t="n">
        <v>5</v>
      </c>
      <c r="C10" s="6" t="s">
        <v>18</v>
      </c>
      <c r="D10" s="5" t="s">
        <v>10</v>
      </c>
      <c r="E10" s="6" t="s">
        <v>19</v>
      </c>
      <c r="F10" s="7" t="n">
        <v>17</v>
      </c>
      <c r="G10" s="8" t="n">
        <f aca="false">SUM(F10)</f>
        <v>17</v>
      </c>
    </row>
    <row r="11" customFormat="false" ht="24" hidden="false" customHeight="true" outlineLevel="0" collapsed="false">
      <c r="B11" s="4"/>
      <c r="C11" s="4" t="s">
        <v>20</v>
      </c>
      <c r="D11" s="4"/>
      <c r="E11" s="4"/>
      <c r="F11" s="4"/>
      <c r="G11" s="4"/>
    </row>
    <row r="12" customFormat="false" ht="24" hidden="false" customHeight="true" outlineLevel="0" collapsed="false">
      <c r="B12" s="5" t="n">
        <v>6</v>
      </c>
      <c r="C12" s="6" t="s">
        <v>21</v>
      </c>
      <c r="D12" s="5" t="s">
        <v>22</v>
      </c>
      <c r="E12" s="6" t="s">
        <v>23</v>
      </c>
      <c r="F12" s="13" t="n">
        <v>13.5</v>
      </c>
      <c r="G12" s="14" t="n">
        <f aca="false">SUM(F12)</f>
        <v>13.5</v>
      </c>
    </row>
    <row r="13" customFormat="false" ht="24" hidden="false" customHeight="true" outlineLevel="0" collapsed="false">
      <c r="B13" s="9" t="n">
        <v>7</v>
      </c>
      <c r="C13" s="10" t="s">
        <v>24</v>
      </c>
      <c r="D13" s="9" t="s">
        <v>22</v>
      </c>
      <c r="E13" s="10" t="s">
        <v>23</v>
      </c>
      <c r="F13" s="15" t="n">
        <v>3.4</v>
      </c>
      <c r="G13" s="16" t="n">
        <f aca="false">SUM(F13)</f>
        <v>3.4</v>
      </c>
    </row>
    <row r="14" customFormat="false" ht="24" hidden="false" customHeight="true" outlineLevel="0" collapsed="false">
      <c r="B14" s="5" t="n">
        <v>8</v>
      </c>
      <c r="C14" s="6" t="s">
        <v>25</v>
      </c>
      <c r="D14" s="5" t="s">
        <v>22</v>
      </c>
      <c r="E14" s="6" t="s">
        <v>23</v>
      </c>
      <c r="F14" s="13" t="n">
        <v>2.3</v>
      </c>
      <c r="G14" s="14" t="n">
        <f aca="false">SUM(F14)</f>
        <v>2.3</v>
      </c>
    </row>
    <row r="15" customFormat="false" ht="24" hidden="false" customHeight="true" outlineLevel="0" collapsed="false">
      <c r="B15" s="9" t="n">
        <v>9</v>
      </c>
      <c r="C15" s="10" t="s">
        <v>26</v>
      </c>
      <c r="D15" s="9" t="s">
        <v>22</v>
      </c>
      <c r="E15" s="10" t="s">
        <v>23</v>
      </c>
      <c r="F15" s="15" t="n">
        <v>4</v>
      </c>
      <c r="G15" s="16" t="n">
        <f aca="false">SUM(F15)</f>
        <v>4</v>
      </c>
    </row>
    <row r="16" customFormat="false" ht="24" hidden="false" customHeight="true" outlineLevel="0" collapsed="false">
      <c r="B16" s="5" t="n">
        <v>10</v>
      </c>
      <c r="C16" s="6" t="s">
        <v>27</v>
      </c>
      <c r="D16" s="5" t="s">
        <v>22</v>
      </c>
      <c r="E16" s="6" t="s">
        <v>23</v>
      </c>
      <c r="F16" s="13" t="n">
        <v>3.8</v>
      </c>
      <c r="G16" s="14" t="n">
        <f aca="false">SUM(F16)</f>
        <v>3.8</v>
      </c>
    </row>
    <row r="17" customFormat="false" ht="24" hidden="false" customHeight="true" outlineLevel="0" collapsed="false">
      <c r="B17" s="9" t="n">
        <v>11</v>
      </c>
      <c r="C17" s="10" t="s">
        <v>28</v>
      </c>
      <c r="D17" s="9" t="s">
        <v>22</v>
      </c>
      <c r="E17" s="10" t="s">
        <v>23</v>
      </c>
      <c r="F17" s="15" t="n">
        <v>3.2</v>
      </c>
      <c r="G17" s="16" t="n">
        <f aca="false">SUM(F17)</f>
        <v>3.2</v>
      </c>
    </row>
    <row r="18" customFormat="false" ht="24" hidden="false" customHeight="true" outlineLevel="0" collapsed="false">
      <c r="B18" s="5" t="n">
        <v>12</v>
      </c>
      <c r="C18" s="6" t="s">
        <v>29</v>
      </c>
      <c r="D18" s="5" t="s">
        <v>22</v>
      </c>
      <c r="E18" s="6" t="s">
        <v>23</v>
      </c>
      <c r="F18" s="13" t="n">
        <v>2.8</v>
      </c>
      <c r="G18" s="14" t="n">
        <f aca="false">SUM(F18)</f>
        <v>2.8</v>
      </c>
    </row>
    <row r="19" customFormat="false" ht="24" hidden="false" customHeight="true" outlineLevel="0" collapsed="false">
      <c r="B19" s="9" t="n">
        <v>13</v>
      </c>
      <c r="C19" s="10" t="s">
        <v>30</v>
      </c>
      <c r="D19" s="9" t="s">
        <v>22</v>
      </c>
      <c r="E19" s="10" t="s">
        <v>23</v>
      </c>
      <c r="F19" s="15" t="n">
        <v>0.2</v>
      </c>
      <c r="G19" s="16" t="n">
        <f aca="false">SUM(F19)</f>
        <v>0.2</v>
      </c>
    </row>
    <row r="20" customFormat="false" ht="24" hidden="false" customHeight="true" outlineLevel="0" collapsed="false">
      <c r="B20" s="5" t="n">
        <v>14</v>
      </c>
      <c r="C20" s="6" t="s">
        <v>31</v>
      </c>
      <c r="D20" s="5" t="s">
        <v>22</v>
      </c>
      <c r="E20" s="6" t="s">
        <v>23</v>
      </c>
      <c r="F20" s="13" t="n">
        <v>0.2</v>
      </c>
      <c r="G20" s="14" t="n">
        <f aca="false">SUM(F20)</f>
        <v>0.2</v>
      </c>
    </row>
    <row r="21" customFormat="false" ht="24" hidden="false" customHeight="true" outlineLevel="0" collapsed="false">
      <c r="B21" s="9" t="n">
        <v>15</v>
      </c>
      <c r="C21" s="10" t="s">
        <v>32</v>
      </c>
      <c r="D21" s="9" t="s">
        <v>22</v>
      </c>
      <c r="E21" s="10" t="s">
        <v>33</v>
      </c>
      <c r="F21" s="15" t="n">
        <v>34.7</v>
      </c>
      <c r="G21" s="16" t="n">
        <f aca="false">SUM(F21)</f>
        <v>34.7</v>
      </c>
    </row>
    <row r="22" customFormat="false" ht="24" hidden="false" customHeight="true" outlineLevel="0" collapsed="false">
      <c r="B22" s="5" t="n">
        <v>16</v>
      </c>
      <c r="C22" s="6" t="s">
        <v>34</v>
      </c>
      <c r="D22" s="5" t="s">
        <v>35</v>
      </c>
      <c r="E22" s="6" t="s">
        <v>36</v>
      </c>
      <c r="F22" s="13" t="n">
        <v>684.3</v>
      </c>
      <c r="G22" s="14" t="n">
        <f aca="false">SUM(F22)</f>
        <v>684.3</v>
      </c>
    </row>
    <row r="23" customFormat="false" ht="24" hidden="false" customHeight="true" outlineLevel="0" collapsed="false">
      <c r="B23" s="4"/>
      <c r="C23" s="4" t="s">
        <v>37</v>
      </c>
      <c r="D23" s="4"/>
      <c r="E23" s="4"/>
      <c r="F23" s="4"/>
      <c r="G23" s="4"/>
    </row>
    <row r="24" customFormat="false" ht="24" hidden="false" customHeight="true" outlineLevel="0" collapsed="false">
      <c r="B24" s="5" t="n">
        <v>17</v>
      </c>
      <c r="C24" s="6" t="s">
        <v>38</v>
      </c>
      <c r="D24" s="5" t="s">
        <v>10</v>
      </c>
      <c r="E24" s="6" t="s">
        <v>39</v>
      </c>
      <c r="F24" s="7" t="n">
        <v>378</v>
      </c>
      <c r="G24" s="8" t="n">
        <f aca="false">SUM(F24)</f>
        <v>378</v>
      </c>
    </row>
    <row r="25" customFormat="false" ht="24" hidden="false" customHeight="true" outlineLevel="0" collapsed="false">
      <c r="B25" s="4"/>
      <c r="C25" s="4" t="s">
        <v>40</v>
      </c>
      <c r="D25" s="4"/>
      <c r="E25" s="4"/>
      <c r="F25" s="4"/>
      <c r="G25" s="4"/>
    </row>
    <row r="26" customFormat="false" ht="24" hidden="false" customHeight="true" outlineLevel="0" collapsed="false">
      <c r="B26" s="5" t="n">
        <v>18</v>
      </c>
      <c r="C26" s="6" t="s">
        <v>41</v>
      </c>
      <c r="D26" s="5" t="s">
        <v>10</v>
      </c>
      <c r="E26" s="6" t="s">
        <v>42</v>
      </c>
      <c r="F26" s="7" t="n">
        <v>817</v>
      </c>
      <c r="G26" s="8" t="n">
        <f aca="false">SUM(F26)</f>
        <v>817</v>
      </c>
    </row>
    <row r="27" customFormat="false" ht="24" hidden="false" customHeight="true" outlineLevel="0" collapsed="false">
      <c r="B27" s="9" t="n">
        <v>19</v>
      </c>
      <c r="C27" s="10" t="s">
        <v>43</v>
      </c>
      <c r="D27" s="9" t="s">
        <v>10</v>
      </c>
      <c r="E27" s="10" t="s">
        <v>44</v>
      </c>
      <c r="F27" s="11" t="n">
        <v>899</v>
      </c>
      <c r="G27" s="12" t="n">
        <f aca="false">SUM(F27)</f>
        <v>899</v>
      </c>
    </row>
    <row r="28" customFormat="false" ht="24" hidden="false" customHeight="true" outlineLevel="0" collapsed="false">
      <c r="B28" s="5" t="n">
        <v>20</v>
      </c>
      <c r="C28" s="6" t="s">
        <v>45</v>
      </c>
      <c r="D28" s="5" t="s">
        <v>10</v>
      </c>
      <c r="E28" s="6" t="s">
        <v>46</v>
      </c>
      <c r="F28" s="7" t="n">
        <v>1835</v>
      </c>
      <c r="G28" s="8" t="n">
        <f aca="false">SUM(F28)</f>
        <v>1835</v>
      </c>
    </row>
    <row r="29" customFormat="false" ht="24" hidden="false" customHeight="true" outlineLevel="0" collapsed="false">
      <c r="B29" s="9" t="n">
        <v>21</v>
      </c>
      <c r="C29" s="10" t="s">
        <v>47</v>
      </c>
      <c r="D29" s="9" t="s">
        <v>10</v>
      </c>
      <c r="E29" s="10" t="s">
        <v>48</v>
      </c>
      <c r="F29" s="11" t="n">
        <v>1835</v>
      </c>
      <c r="G29" s="12" t="n">
        <f aca="false">SUM(F29)</f>
        <v>1835</v>
      </c>
    </row>
    <row r="30" customFormat="false" ht="24" hidden="false" customHeight="true" outlineLevel="0" collapsed="false">
      <c r="B30" s="5" t="n">
        <v>22</v>
      </c>
      <c r="C30" s="6" t="s">
        <v>49</v>
      </c>
      <c r="D30" s="5" t="s">
        <v>50</v>
      </c>
      <c r="E30" s="6" t="s">
        <v>51</v>
      </c>
      <c r="F30" s="7" t="n">
        <v>902</v>
      </c>
      <c r="G30" s="8" t="n">
        <f aca="false">SUM(F30)</f>
        <v>902</v>
      </c>
    </row>
    <row r="31" customFormat="false" ht="24" hidden="false" customHeight="true" outlineLevel="0" collapsed="false">
      <c r="B31" s="9" t="n">
        <v>23</v>
      </c>
      <c r="C31" s="10" t="s">
        <v>52</v>
      </c>
      <c r="D31" s="9" t="s">
        <v>10</v>
      </c>
      <c r="E31" s="10" t="s">
        <v>53</v>
      </c>
      <c r="F31" s="11" t="n">
        <v>1634</v>
      </c>
      <c r="G31" s="12" t="n">
        <f aca="false">SUM(F31)</f>
        <v>1634</v>
      </c>
    </row>
    <row r="32" customFormat="false" ht="24" hidden="false" customHeight="true" outlineLevel="0" collapsed="false">
      <c r="B32" s="5" t="n">
        <v>24</v>
      </c>
      <c r="C32" s="6" t="s">
        <v>54</v>
      </c>
      <c r="D32" s="5" t="s">
        <v>10</v>
      </c>
      <c r="E32" s="6" t="s">
        <v>55</v>
      </c>
      <c r="F32" s="7" t="n">
        <v>4902</v>
      </c>
      <c r="G32" s="8" t="n">
        <f aca="false">SUM(F32)</f>
        <v>4902</v>
      </c>
    </row>
    <row r="34" customFormat="false" ht="13.5" hidden="false" customHeight="true" outlineLevel="0" collapsed="false">
      <c r="B34" s="17" t="s">
        <v>56</v>
      </c>
      <c r="C34" s="17"/>
      <c r="D34" s="17"/>
      <c r="E34" s="17"/>
      <c r="F34" s="17"/>
      <c r="G34" s="17"/>
    </row>
    <row r="35" customFormat="false" ht="13.5" hidden="false" customHeight="true" outlineLevel="0" collapsed="false">
      <c r="B35" s="17" t="s">
        <v>57</v>
      </c>
      <c r="C35" s="17"/>
      <c r="D35" s="17"/>
      <c r="E35" s="17"/>
      <c r="F35" s="17"/>
      <c r="G35" s="17"/>
    </row>
    <row r="36" customFormat="false" ht="13.5" hidden="false" customHeight="true" outlineLevel="0" collapsed="false">
      <c r="B36" s="17" t="s">
        <v>58</v>
      </c>
      <c r="C36" s="17"/>
      <c r="D36" s="17"/>
      <c r="E36" s="17"/>
      <c r="F36" s="17"/>
      <c r="G36" s="17"/>
    </row>
  </sheetData>
  <mergeCells count="4">
    <mergeCell ref="B2:G2"/>
    <mergeCell ref="B34:G34"/>
    <mergeCell ref="B35:G35"/>
    <mergeCell ref="B36:G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R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17"/>
    <col collapsed="false" customWidth="true" hidden="false" outlineLevel="0" max="4" min="4" style="0" width="22"/>
    <col collapsed="false" customWidth="true" hidden="false" outlineLevel="0" max="6" min="5" style="0" width="10"/>
    <col collapsed="false" customWidth="true" hidden="false" outlineLevel="0" max="7" min="7" style="0" width="9"/>
    <col collapsed="false" customWidth="true" hidden="false" outlineLevel="0" max="8" min="8" style="0" width="8"/>
    <col collapsed="false" customWidth="true" hidden="false" outlineLevel="0" max="9" min="9" style="0" width="11"/>
    <col collapsed="false" customWidth="true" hidden="false" outlineLevel="0" max="11" min="10" style="0" width="9.51"/>
    <col collapsed="false" customWidth="true" hidden="false" outlineLevel="0" max="16" min="12" style="0" width="10"/>
    <col collapsed="false" customWidth="true" hidden="false" outlineLevel="0" max="17" min="17" style="0" width="11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1" t="s">
        <v>59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customFormat="false" ht="13.5" hidden="false" customHeight="true" outlineLevel="0" collapsed="false">
      <c r="B3" s="2" t="s">
        <v>60</v>
      </c>
    </row>
    <row r="4" customFormat="false" ht="27.75" hidden="false" customHeight="true" outlineLevel="0" collapsed="false">
      <c r="B4" s="3" t="s">
        <v>2</v>
      </c>
      <c r="C4" s="3" t="s">
        <v>61</v>
      </c>
      <c r="D4" s="3" t="s">
        <v>62</v>
      </c>
      <c r="E4" s="3" t="s">
        <v>63</v>
      </c>
      <c r="F4" s="3" t="s">
        <v>64</v>
      </c>
      <c r="G4" s="3" t="s">
        <v>65</v>
      </c>
      <c r="H4" s="3" t="s">
        <v>66</v>
      </c>
      <c r="I4" s="3" t="s">
        <v>67</v>
      </c>
      <c r="J4" s="3" t="s">
        <v>68</v>
      </c>
      <c r="K4" s="3" t="s">
        <v>69</v>
      </c>
      <c r="L4" s="3" t="s">
        <v>70</v>
      </c>
      <c r="M4" s="3" t="s">
        <v>71</v>
      </c>
      <c r="N4" s="3" t="s">
        <v>72</v>
      </c>
      <c r="O4" s="3" t="s">
        <v>73</v>
      </c>
      <c r="P4" s="3" t="s">
        <v>74</v>
      </c>
      <c r="Q4" s="3" t="s">
        <v>75</v>
      </c>
      <c r="R4" s="3" t="s">
        <v>76</v>
      </c>
    </row>
    <row r="5" customFormat="false" ht="25.5" hidden="false" customHeight="true" outlineLevel="0" collapsed="false">
      <c r="B5" s="5" t="s">
        <v>77</v>
      </c>
      <c r="C5" s="6" t="s">
        <v>6</v>
      </c>
      <c r="D5" s="5" t="s">
        <v>78</v>
      </c>
      <c r="E5" s="18" t="n">
        <v>900</v>
      </c>
      <c r="F5" s="7" t="n">
        <v>817</v>
      </c>
      <c r="G5" s="7" t="n">
        <f aca="false">IFERROR(F5/E5-1,"")</f>
        <v>-0.0922222222222222</v>
      </c>
      <c r="H5" s="19" t="n">
        <v>14</v>
      </c>
      <c r="I5" s="7" t="n">
        <v>378</v>
      </c>
      <c r="J5" s="7" t="n">
        <v>30.05</v>
      </c>
      <c r="K5" s="20" t="n">
        <v>33.02</v>
      </c>
      <c r="L5" s="20" t="n">
        <v>40.4</v>
      </c>
      <c r="M5" s="7" t="n">
        <v>128</v>
      </c>
      <c r="N5" s="7" t="n">
        <v>684.3</v>
      </c>
      <c r="O5" s="7" t="n">
        <v>2535.2</v>
      </c>
      <c r="P5" s="7" t="n">
        <v>17</v>
      </c>
      <c r="Q5" s="7" t="n">
        <v>90</v>
      </c>
      <c r="R5" s="7" t="n">
        <v>469.3</v>
      </c>
    </row>
    <row r="6" customFormat="false" ht="25.5" hidden="false" customHeight="true" outlineLevel="0" collapsed="false">
      <c r="B6" s="21"/>
      <c r="C6" s="21" t="s">
        <v>7</v>
      </c>
      <c r="D6" s="21"/>
      <c r="E6" s="22" t="n">
        <f aca="false">SUM(E5)</f>
        <v>900</v>
      </c>
      <c r="F6" s="22" t="n">
        <f aca="false">SUM(F5)</f>
        <v>817</v>
      </c>
      <c r="G6" s="23" t="n">
        <f aca="false">IFERROR(F6/E6-1,"")</f>
        <v>-0.0922222222222222</v>
      </c>
      <c r="H6" s="22" t="n">
        <f aca="false">SUM(H5)</f>
        <v>14</v>
      </c>
      <c r="I6" s="22" t="n">
        <f aca="false">SUM(I5)</f>
        <v>378</v>
      </c>
      <c r="J6" s="24" t="n">
        <f aca="false">SUM(J5)</f>
        <v>30.05</v>
      </c>
      <c r="K6" s="24" t="n">
        <f aca="false">SUM(K5)</f>
        <v>33.02</v>
      </c>
      <c r="L6" s="22" t="n">
        <f aca="false">IFERROR(K6*1000/F6,"")</f>
        <v>40.4161566707466</v>
      </c>
      <c r="M6" s="22" t="n">
        <f aca="false">MAX(M5)</f>
        <v>128</v>
      </c>
      <c r="N6" s="25" t="n">
        <f aca="false">SUM(N5)</f>
        <v>684.3</v>
      </c>
      <c r="O6" s="25" t="n">
        <f aca="false">SUM(O5)</f>
        <v>2535.2</v>
      </c>
      <c r="P6" s="22" t="n">
        <f aca="false">SUM(P5)</f>
        <v>17</v>
      </c>
      <c r="Q6" s="22" t="n">
        <f aca="false">MAX(Q5)</f>
        <v>90</v>
      </c>
      <c r="R6" s="22" t="n">
        <f aca="false">IFERROR(SUMPRODUCT(R5,F5)/F6,"")</f>
        <v>469.3</v>
      </c>
    </row>
  </sheetData>
  <mergeCells count="1">
    <mergeCell ref="B2:R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4" min="3" style="0" width="22"/>
    <col collapsed="false" customWidth="true" hidden="false" outlineLevel="0" max="5" min="5" style="0" width="14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1" t="s">
        <v>79</v>
      </c>
      <c r="C2" s="1"/>
      <c r="D2" s="1"/>
      <c r="E2" s="1"/>
    </row>
    <row r="3" customFormat="false" ht="13.5" hidden="false" customHeight="true" outlineLevel="0" collapsed="false">
      <c r="B3" s="2" t="s">
        <v>80</v>
      </c>
    </row>
    <row r="4" customFormat="false" ht="27.75" hidden="false" customHeight="true" outlineLevel="0" collapsed="false">
      <c r="B4" s="3" t="s">
        <v>81</v>
      </c>
      <c r="C4" s="3" t="s">
        <v>82</v>
      </c>
      <c r="D4" s="3" t="s">
        <v>83</v>
      </c>
      <c r="E4" s="3" t="s">
        <v>84</v>
      </c>
    </row>
    <row r="5" customFormat="false" ht="24" hidden="false" customHeight="true" outlineLevel="0" collapsed="false">
      <c r="B5" s="6" t="s">
        <v>85</v>
      </c>
      <c r="C5" s="7" t="n">
        <v>817</v>
      </c>
      <c r="D5" s="7" t="n">
        <v>817</v>
      </c>
      <c r="E5" s="26" t="n">
        <f aca="false">IFERROR(D5/C5-1,"")</f>
        <v>0</v>
      </c>
    </row>
    <row r="6" customFormat="false" ht="24" hidden="false" customHeight="true" outlineLevel="0" collapsed="false">
      <c r="B6" s="10" t="s">
        <v>86</v>
      </c>
      <c r="C6" s="11" t="n">
        <v>1</v>
      </c>
      <c r="D6" s="11" t="n">
        <v>15</v>
      </c>
      <c r="E6" s="27" t="n">
        <f aca="false">IFERROR(D6/C6-1,"")</f>
        <v>14</v>
      </c>
    </row>
    <row r="7" customFormat="false" ht="24" hidden="false" customHeight="true" outlineLevel="0" collapsed="false">
      <c r="B7" s="6" t="s">
        <v>87</v>
      </c>
      <c r="C7" s="13" t="n">
        <v>2535.2</v>
      </c>
      <c r="D7" s="13" t="n">
        <v>684.3</v>
      </c>
      <c r="E7" s="13" t="n">
        <f aca="false">IFERROR(D7/C7-1,"")</f>
        <v>-0.730080467024298</v>
      </c>
    </row>
    <row r="8" customFormat="false" ht="24" hidden="false" customHeight="true" outlineLevel="0" collapsed="false">
      <c r="B8" s="10" t="s">
        <v>88</v>
      </c>
      <c r="C8" s="15" t="n">
        <v>51.1</v>
      </c>
      <c r="D8" s="15" t="n">
        <v>33.06</v>
      </c>
      <c r="E8" s="15" t="n">
        <f aca="false">IFERROR(D8/C8-1,"")</f>
        <v>-0.353033268101761</v>
      </c>
    </row>
    <row r="9" customFormat="false" ht="24" hidden="false" customHeight="true" outlineLevel="0" collapsed="false">
      <c r="B9" s="6" t="s">
        <v>89</v>
      </c>
      <c r="C9" s="13" t="n">
        <v>34.7</v>
      </c>
      <c r="D9" s="13" t="n">
        <v>34.7</v>
      </c>
      <c r="E9" s="13" t="n">
        <f aca="false">IFERROR(D9/C9-1,"")</f>
        <v>0</v>
      </c>
    </row>
    <row r="10" customFormat="false" ht="24" hidden="false" customHeight="true" outlineLevel="0" collapsed="false">
      <c r="B10" s="10" t="s">
        <v>90</v>
      </c>
      <c r="C10" s="15" t="n">
        <v>85.8</v>
      </c>
      <c r="D10" s="15" t="n">
        <v>67.8</v>
      </c>
      <c r="E10" s="15" t="n">
        <f aca="false">IFERROR(D10/C10-1,"")</f>
        <v>-0.20979020979021</v>
      </c>
    </row>
    <row r="11" customFormat="false" ht="24" hidden="false" customHeight="true" outlineLevel="0" collapsed="false">
      <c r="B11" s="6" t="s">
        <v>91</v>
      </c>
      <c r="C11" s="7" t="n">
        <v>392</v>
      </c>
      <c r="D11" s="7" t="n">
        <v>378</v>
      </c>
      <c r="E11" s="26" t="n">
        <f aca="false">IFERROR(D11/C11-1,"")</f>
        <v>-0.0357142857142857</v>
      </c>
    </row>
    <row r="12" customFormat="false" ht="24" hidden="false" customHeight="true" outlineLevel="0" collapsed="false">
      <c r="B12" s="10" t="s">
        <v>92</v>
      </c>
      <c r="C12" s="11" t="n">
        <v>13</v>
      </c>
      <c r="D12" s="11" t="n">
        <v>17</v>
      </c>
      <c r="E12" s="27" t="n">
        <f aca="false">IFERROR(D12/C12-1,"")</f>
        <v>0.307692307692308</v>
      </c>
    </row>
    <row r="13" customFormat="false" ht="24" hidden="false" customHeight="true" outlineLevel="0" collapsed="false">
      <c r="B13" s="6" t="s">
        <v>93</v>
      </c>
      <c r="C13" s="7" t="n">
        <v>1798</v>
      </c>
      <c r="D13" s="7" t="n">
        <v>1835</v>
      </c>
      <c r="E13" s="26" t="n">
        <f aca="false">IFERROR(D13/C13-1,"")</f>
        <v>0.0205784204671857</v>
      </c>
    </row>
    <row r="14" customFormat="false" ht="24" hidden="false" customHeight="true" outlineLevel="0" collapsed="false">
      <c r="B14" s="10" t="s">
        <v>94</v>
      </c>
      <c r="C14" s="11" t="n">
        <v>1152</v>
      </c>
      <c r="D14" s="11" t="n">
        <v>1440</v>
      </c>
      <c r="E14" s="27" t="n">
        <f aca="false">IFERROR(D14/C14-1,"")</f>
        <v>0.25</v>
      </c>
    </row>
    <row r="16" customFormat="false" ht="15" hidden="false" customHeight="false" outlineLevel="0" collapsed="false">
      <c r="B16" s="17" t="s">
        <v>95</v>
      </c>
      <c r="C16" s="17"/>
      <c r="D16" s="17"/>
      <c r="E16" s="17"/>
    </row>
  </sheetData>
  <mergeCells count="2">
    <mergeCell ref="B2:E2"/>
    <mergeCell ref="B16:E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34"/>
    <col collapsed="false" customWidth="true" hidden="false" outlineLevel="0" max="4" min="4" style="0" width="88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1" t="s">
        <v>96</v>
      </c>
      <c r="C2" s="1"/>
      <c r="D2" s="1"/>
    </row>
    <row r="3" customFormat="false" ht="13.5" hidden="false" customHeight="true" outlineLevel="0" collapsed="false">
      <c r="B3" s="2" t="s">
        <v>97</v>
      </c>
    </row>
    <row r="4" customFormat="false" ht="27.75" hidden="false" customHeight="true" outlineLevel="0" collapsed="false">
      <c r="B4" s="3" t="s">
        <v>2</v>
      </c>
      <c r="C4" s="3" t="s">
        <v>98</v>
      </c>
      <c r="D4" s="3" t="s">
        <v>99</v>
      </c>
    </row>
    <row r="5" customFormat="false" ht="24" hidden="false" customHeight="true" outlineLevel="0" collapsed="false">
      <c r="B5" s="4"/>
      <c r="C5" s="4" t="s">
        <v>100</v>
      </c>
      <c r="D5" s="4"/>
    </row>
    <row r="6" customFormat="false" ht="36" hidden="false" customHeight="true" outlineLevel="0" collapsed="false">
      <c r="B6" s="28" t="n">
        <v>1</v>
      </c>
      <c r="C6" s="29" t="s">
        <v>101</v>
      </c>
      <c r="D6" s="29" t="s">
        <v>102</v>
      </c>
    </row>
    <row r="7" customFormat="false" ht="21.75" hidden="false" customHeight="true" outlineLevel="0" collapsed="false">
      <c r="B7" s="30" t="n">
        <v>2</v>
      </c>
      <c r="C7" s="31" t="s">
        <v>103</v>
      </c>
      <c r="D7" s="31" t="s">
        <v>104</v>
      </c>
    </row>
    <row r="8" customFormat="false" ht="36" hidden="false" customHeight="true" outlineLevel="0" collapsed="false">
      <c r="B8" s="28" t="n">
        <v>3</v>
      </c>
      <c r="C8" s="29" t="s">
        <v>105</v>
      </c>
      <c r="D8" s="29" t="s">
        <v>106</v>
      </c>
    </row>
    <row r="9" customFormat="false" ht="21.75" hidden="false" customHeight="true" outlineLevel="0" collapsed="false">
      <c r="B9" s="30" t="n">
        <v>4</v>
      </c>
      <c r="C9" s="31" t="s">
        <v>107</v>
      </c>
      <c r="D9" s="31" t="s">
        <v>108</v>
      </c>
    </row>
    <row r="10" customFormat="false" ht="24" hidden="false" customHeight="true" outlineLevel="0" collapsed="false">
      <c r="B10" s="4"/>
      <c r="C10" s="4" t="s">
        <v>109</v>
      </c>
      <c r="D10" s="4"/>
    </row>
    <row r="11" customFormat="false" ht="49.5" hidden="false" customHeight="true" outlineLevel="0" collapsed="false">
      <c r="B11" s="28" t="n">
        <v>5</v>
      </c>
      <c r="C11" s="29" t="s">
        <v>110</v>
      </c>
      <c r="D11" s="29" t="s">
        <v>111</v>
      </c>
    </row>
    <row r="12" customFormat="false" ht="36" hidden="false" customHeight="true" outlineLevel="0" collapsed="false">
      <c r="B12" s="30" t="n">
        <v>6</v>
      </c>
      <c r="C12" s="31" t="s">
        <v>112</v>
      </c>
      <c r="D12" s="31" t="s">
        <v>113</v>
      </c>
    </row>
    <row r="13" customFormat="false" ht="36" hidden="false" customHeight="true" outlineLevel="0" collapsed="false">
      <c r="B13" s="28" t="n">
        <v>7</v>
      </c>
      <c r="C13" s="29" t="s">
        <v>114</v>
      </c>
      <c r="D13" s="29" t="s">
        <v>115</v>
      </c>
    </row>
    <row r="14" customFormat="false" ht="24" hidden="false" customHeight="true" outlineLevel="0" collapsed="false">
      <c r="B14" s="4"/>
      <c r="C14" s="4" t="s">
        <v>116</v>
      </c>
      <c r="D14" s="4"/>
    </row>
    <row r="15" customFormat="false" ht="36" hidden="false" customHeight="true" outlineLevel="0" collapsed="false">
      <c r="B15" s="30" t="n">
        <v>8</v>
      </c>
      <c r="C15" s="31" t="s">
        <v>117</v>
      </c>
      <c r="D15" s="31" t="s">
        <v>118</v>
      </c>
    </row>
    <row r="16" customFormat="false" ht="36" hidden="false" customHeight="true" outlineLevel="0" collapsed="false">
      <c r="B16" s="28" t="n">
        <v>9</v>
      </c>
      <c r="C16" s="29" t="s">
        <v>119</v>
      </c>
      <c r="D16" s="29" t="s">
        <v>120</v>
      </c>
    </row>
    <row r="17" customFormat="false" ht="21.75" hidden="false" customHeight="true" outlineLevel="0" collapsed="false">
      <c r="B17" s="30" t="n">
        <v>10</v>
      </c>
      <c r="C17" s="31" t="s">
        <v>121</v>
      </c>
      <c r="D17" s="31" t="s">
        <v>122</v>
      </c>
    </row>
    <row r="18" customFormat="false" ht="21.75" hidden="false" customHeight="true" outlineLevel="0" collapsed="false">
      <c r="B18" s="28" t="n">
        <v>11</v>
      </c>
      <c r="C18" s="29" t="s">
        <v>123</v>
      </c>
      <c r="D18" s="29" t="s">
        <v>124</v>
      </c>
    </row>
    <row r="19" customFormat="false" ht="24" hidden="false" customHeight="true" outlineLevel="0" collapsed="false">
      <c r="B19" s="4"/>
      <c r="C19" s="4" t="s">
        <v>125</v>
      </c>
      <c r="D19" s="4"/>
    </row>
    <row r="20" customFormat="false" ht="36" hidden="false" customHeight="true" outlineLevel="0" collapsed="false">
      <c r="B20" s="30" t="n">
        <v>12</v>
      </c>
      <c r="C20" s="31" t="s">
        <v>67</v>
      </c>
      <c r="D20" s="31" t="s">
        <v>126</v>
      </c>
    </row>
    <row r="21" customFormat="false" ht="36" hidden="false" customHeight="true" outlineLevel="0" collapsed="false">
      <c r="B21" s="28" t="n">
        <v>13</v>
      </c>
      <c r="C21" s="29" t="s">
        <v>127</v>
      </c>
      <c r="D21" s="29" t="s">
        <v>128</v>
      </c>
    </row>
    <row r="22" customFormat="false" ht="21.75" hidden="false" customHeight="true" outlineLevel="0" collapsed="false">
      <c r="B22" s="30" t="n">
        <v>14</v>
      </c>
      <c r="C22" s="31" t="s">
        <v>129</v>
      </c>
      <c r="D22" s="31" t="s">
        <v>130</v>
      </c>
    </row>
    <row r="23" customFormat="false" ht="36" hidden="false" customHeight="true" outlineLevel="0" collapsed="false">
      <c r="B23" s="28" t="n">
        <v>15</v>
      </c>
      <c r="C23" s="29" t="s">
        <v>131</v>
      </c>
      <c r="D23" s="29" t="s">
        <v>132</v>
      </c>
    </row>
    <row r="24" customFormat="false" ht="21.75" hidden="false" customHeight="true" outlineLevel="0" collapsed="false">
      <c r="B24" s="30" t="n">
        <v>16</v>
      </c>
      <c r="C24" s="31" t="s">
        <v>133</v>
      </c>
      <c r="D24" s="31" t="s">
        <v>134</v>
      </c>
    </row>
    <row r="25" customFormat="false" ht="24" hidden="false" customHeight="true" outlineLevel="0" collapsed="false">
      <c r="B25" s="4"/>
      <c r="C25" s="4" t="s">
        <v>135</v>
      </c>
      <c r="D25" s="4"/>
    </row>
    <row r="26" customFormat="false" ht="21.75" hidden="false" customHeight="true" outlineLevel="0" collapsed="false">
      <c r="B26" s="28" t="n">
        <v>17</v>
      </c>
      <c r="C26" s="29" t="s">
        <v>136</v>
      </c>
      <c r="D26" s="29" t="s">
        <v>137</v>
      </c>
    </row>
    <row r="27" customFormat="false" ht="36" hidden="false" customHeight="true" outlineLevel="0" collapsed="false">
      <c r="B27" s="30" t="n">
        <v>18</v>
      </c>
      <c r="C27" s="31" t="s">
        <v>138</v>
      </c>
      <c r="D27" s="31" t="s">
        <v>139</v>
      </c>
    </row>
  </sheetData>
  <mergeCells count="1">
    <mergeCell ref="B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2026-09-18T10:25:54Z</dcterms:created>
  <dc:creator>Z.ai</dc:creator>
  <dc:description/>
  <dc:language>en-US</dc:language>
  <cp:lastModifiedBy/>
  <dcterms:modified xsi:type="dcterms:W3CDTF">2026-09-18T10:25:54Z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