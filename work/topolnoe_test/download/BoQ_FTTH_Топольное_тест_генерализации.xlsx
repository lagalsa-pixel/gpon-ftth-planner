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(схема D)" sheetId="1" state="visible" r:id="rId1"/>
    <sheet xmlns:r="http://schemas.openxmlformats.org/officeDocument/2006/relationships" name="Параметры сетей" sheetId="2" state="visible" r:id="rId2"/>
    <sheet xmlns:r="http://schemas.openxmlformats.org/officeDocument/2006/relationships" name="Схемы A и D" sheetId="3" state="visible" r:id="rId3"/>
    <sheet xmlns:r="http://schemas.openxmlformats.org/officeDocument/2006/relationships" name="Методика" sheetId="4" state="visible" r:id="rId4"/>
  </sheets>
  <definedNames>
    <definedName name="_xlnm.Print_Titles" localSheetId="0">'Сводная (схема D)'!$4:$4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%;-0.0%;0.0%"/>
  </numFmts>
  <fonts count="6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color rgb="008C8A84"/>
      <sz val="9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3" fontId="5" fillId="4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3" fontId="5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center" vertical="center"/>
    </xf>
    <xf numFmtId="4" fontId="5" fillId="4" borderId="0" applyAlignment="1" pivotButton="0" quotePrefix="0" xfId="0">
      <alignment horizontal="right" vertical="center"/>
    </xf>
    <xf numFmtId="0" fontId="4" fillId="3" borderId="2" pivotButton="0" quotePrefix="0" xfId="0"/>
    <xf numFmtId="3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9" customWidth="1" min="4" max="4"/>
    <col width="26" customWidth="1" min="5" max="5"/>
    <col width="12.5" customWidth="1" min="6" max="6"/>
    <col width="12.5" customWidth="1" min="7" max="7"/>
  </cols>
  <sheetData>
    <row r="1" ht="15" customHeight="1"/>
    <row r="2" ht="32" customHeight="1">
      <c r="B2" s="1" t="inlineStr">
        <is>
          <t>Сводная таблица материалов — FTTH (GPON), схема D: зонные ОРШ, единый узел OLT — 1 СНП</t>
        </is>
      </c>
    </row>
    <row r="3" ht="14" customHeight="1">
      <c r="B3" s="2" t="inlineStr">
        <is>
          <t>Сеть спроектирована по спутниковым снимкам с привязкой к дорогам OSM • допущения — лист «Методика» • подготовлено 24.09.2026</t>
        </is>
      </c>
    </row>
    <row r="4" ht="28" customHeight="1">
      <c r="B4" s="3" t="inlineStr">
        <is>
          <t>№</t>
        </is>
      </c>
      <c r="C4" s="3" t="inlineStr">
        <is>
          <t>Наименование</t>
        </is>
      </c>
      <c r="D4" s="3" t="inlineStr">
        <is>
          <t>Ед. изм.</t>
        </is>
      </c>
      <c r="E4" s="3" t="inlineStr">
        <is>
          <t>Расчёт / норма</t>
        </is>
      </c>
      <c r="F4" s="3" t="inlineStr">
        <is>
          <t>Топольное</t>
        </is>
      </c>
      <c r="G4" s="3" t="inlineStr">
        <is>
          <t>ИТОГО</t>
        </is>
      </c>
    </row>
    <row r="5" ht="24" customHeight="1">
      <c r="B5" s="4" t="n"/>
      <c r="C5" s="4" t="inlineStr">
        <is>
          <t>А. Оборудование и узлы</t>
        </is>
      </c>
      <c r="D5" s="4" t="n"/>
      <c r="E5" s="4" t="n"/>
      <c r="F5" s="4" t="n"/>
      <c r="G5" s="4" t="n"/>
    </row>
    <row r="6" ht="24" customHeight="1">
      <c r="B6" s="5" t="n">
        <v>1</v>
      </c>
      <c r="C6" s="6" t="inlineStr">
        <is>
          <t>Шкаф ОРШ на здании ЦУ (основа сети, единый узел OLT)</t>
        </is>
      </c>
      <c r="D6" s="5" t="inlineStr">
        <is>
          <t>шт</t>
        </is>
      </c>
      <c r="E6" s="6" t="inlineStr">
        <is>
          <t>1 на СНП (здание-якорь по проекту)</t>
        </is>
      </c>
      <c r="F6" s="7" t="n">
        <v>1</v>
      </c>
      <c r="G6" s="8">
        <f>SUM(F6:F6)</f>
        <v/>
      </c>
    </row>
    <row r="7" ht="24" customHeight="1">
      <c r="B7" s="9" t="n">
        <v>2</v>
      </c>
      <c r="C7" s="10" t="inlineStr">
        <is>
          <t>Шкаф ОРШ зонный уличный (в муфте ветвления)</t>
        </is>
      </c>
      <c r="D7" s="9" t="inlineStr">
        <is>
          <t>шт</t>
        </is>
      </c>
      <c r="E7" s="10" t="inlineStr">
        <is>
          <t>по разбиению на зоны (S_MIN = 15 волокно-км)</t>
        </is>
      </c>
      <c r="F7" s="11" t="n">
        <v>3</v>
      </c>
      <c r="G7" s="12">
        <f>SUM(F7:F7)</f>
        <v/>
      </c>
    </row>
    <row r="8" ht="24" customHeight="1">
      <c r="B8" s="5" t="n">
        <v>3</v>
      </c>
      <c r="C8" s="6" t="inlineStr">
        <is>
          <t>Сплиттер PLC 1×64 (в ЦУ и зонных ОРШ)</t>
        </is>
      </c>
      <c r="D8" s="5" t="inlineStr">
        <is>
          <t>шт</t>
        </is>
      </c>
      <c r="E8" s="6" t="inlineStr">
        <is>
          <t>Σ ceil(ДХ зоны / 64)</t>
        </is>
      </c>
      <c r="F8" s="7" t="n">
        <v>6</v>
      </c>
      <c r="G8" s="8">
        <f>SUM(F8:F8)</f>
        <v/>
      </c>
    </row>
    <row r="9" ht="24" customHeight="1">
      <c r="B9" s="9" t="n">
        <v>4</v>
      </c>
      <c r="C9" s="10" t="inlineStr">
        <is>
          <t>Пигтейль SC/UPC для кроссов ОРШ</t>
        </is>
      </c>
      <c r="D9" s="9" t="inlineStr">
        <is>
          <t>шт</t>
        </is>
      </c>
      <c r="E9" s="10" t="inlineStr">
        <is>
          <t>ДХ + 2 × сплиттеры</t>
        </is>
      </c>
      <c r="F9" s="11" t="n">
        <v>270</v>
      </c>
      <c r="G9" s="12">
        <f>SUM(F9:F9)</f>
        <v/>
      </c>
    </row>
    <row r="10" ht="24" customHeight="1">
      <c r="B10" s="5" t="n">
        <v>5</v>
      </c>
      <c r="C10" s="6" t="inlineStr">
        <is>
          <t>Порт PON OLT — справочно (активное оборудование)</t>
        </is>
      </c>
      <c r="D10" s="5" t="inlineStr">
        <is>
          <t>шт</t>
        </is>
      </c>
      <c r="E10" s="6" t="inlineStr">
        <is>
          <t>по числу сплиттеров 1:64</t>
        </is>
      </c>
      <c r="F10" s="7" t="n">
        <v>6</v>
      </c>
      <c r="G10" s="8">
        <f>SUM(F10:F10)</f>
        <v/>
      </c>
    </row>
    <row r="11" ht="24" customHeight="1">
      <c r="B11" s="4" t="n"/>
      <c r="C11" s="4" t="inlineStr">
        <is>
          <t>Б. Кабельная продукция (длины с запасом на монтаж 10 %)</t>
        </is>
      </c>
      <c r="D11" s="4" t="n"/>
      <c r="E11" s="4" t="n"/>
      <c r="F11" s="4" t="n"/>
      <c r="G11" s="4" t="n"/>
    </row>
    <row r="12" ht="24" customHeight="1">
      <c r="B12" s="5" t="n">
        <v>6</v>
      </c>
      <c r="C12" s="6" t="inlineStr">
        <is>
          <t>Кабель оптический самонесущий, 8 волокон</t>
        </is>
      </c>
      <c r="D12" s="5" t="inlineStr">
        <is>
          <t>км</t>
        </is>
      </c>
      <c r="E12" s="6" t="inlineStr">
        <is>
          <t>волокна участка = 1,25 × ДХ потока</t>
        </is>
      </c>
      <c r="F12" s="13" t="n">
        <v>8.800000000000001</v>
      </c>
      <c r="G12" s="14">
        <f>SUM(F12:F12)</f>
        <v/>
      </c>
    </row>
    <row r="13" ht="24" customHeight="1">
      <c r="B13" s="9" t="n">
        <v>7</v>
      </c>
      <c r="C13" s="10" t="inlineStr">
        <is>
          <t>Кабель оптический самонесущий, 12 волокон</t>
        </is>
      </c>
      <c r="D13" s="9" t="inlineStr">
        <is>
          <t>км</t>
        </is>
      </c>
      <c r="E13" s="10" t="inlineStr">
        <is>
          <t>волокна участка = 1,25 × ДХ потока</t>
        </is>
      </c>
      <c r="F13" s="15" t="n">
        <v>1.1</v>
      </c>
      <c r="G13" s="16">
        <f>SUM(F13:F13)</f>
        <v/>
      </c>
    </row>
    <row r="14" ht="24" customHeight="1">
      <c r="B14" s="5" t="n">
        <v>8</v>
      </c>
      <c r="C14" s="6" t="inlineStr">
        <is>
          <t>Кабель оптический самонесущий, 16 волокон</t>
        </is>
      </c>
      <c r="D14" s="5" t="inlineStr">
        <is>
          <t>км</t>
        </is>
      </c>
      <c r="E14" s="6" t="inlineStr">
        <is>
          <t>волокна участка = 1,25 × ДХ потока</t>
        </is>
      </c>
      <c r="F14" s="13" t="n">
        <v>0.7</v>
      </c>
      <c r="G14" s="14">
        <f>SUM(F14:F14)</f>
        <v/>
      </c>
    </row>
    <row r="15" ht="24" customHeight="1">
      <c r="B15" s="9" t="n">
        <v>9</v>
      </c>
      <c r="C15" s="10" t="inlineStr">
        <is>
          <t>Кабель оптический самонесущий, 24 волокон</t>
        </is>
      </c>
      <c r="D15" s="9" t="inlineStr">
        <is>
          <t>км</t>
        </is>
      </c>
      <c r="E15" s="10" t="inlineStr">
        <is>
          <t>волокна участка = 1,25 × ДХ потока</t>
        </is>
      </c>
      <c r="F15" s="15" t="n">
        <v>2.4</v>
      </c>
      <c r="G15" s="16">
        <f>SUM(F15:F15)</f>
        <v/>
      </c>
    </row>
    <row r="16" ht="24" customHeight="1">
      <c r="B16" s="5" t="n">
        <v>10</v>
      </c>
      <c r="C16" s="6" t="inlineStr">
        <is>
          <t>Кабель оптический самонесущий, 32 волокон</t>
        </is>
      </c>
      <c r="D16" s="5" t="inlineStr">
        <is>
          <t>км</t>
        </is>
      </c>
      <c r="E16" s="6" t="inlineStr">
        <is>
          <t>волокна участка = 1,25 × ДХ потока</t>
        </is>
      </c>
      <c r="F16" s="13" t="n">
        <v>0.9</v>
      </c>
      <c r="G16" s="14">
        <f>SUM(F16:F16)</f>
        <v/>
      </c>
    </row>
    <row r="17" ht="24" customHeight="1">
      <c r="B17" s="9" t="n">
        <v>11</v>
      </c>
      <c r="C17" s="10" t="inlineStr">
        <is>
          <t>Кабель оптический самонесущий, 48 волокон</t>
        </is>
      </c>
      <c r="D17" s="9" t="inlineStr">
        <is>
          <t>км</t>
        </is>
      </c>
      <c r="E17" s="10" t="inlineStr">
        <is>
          <t>волокна участка = 1,25 × ДХ потока</t>
        </is>
      </c>
      <c r="F17" s="15" t="n">
        <v>1.1</v>
      </c>
      <c r="G17" s="16">
        <f>SUM(F17:F17)</f>
        <v/>
      </c>
    </row>
    <row r="18" ht="24" customHeight="1">
      <c r="B18" s="5" t="n">
        <v>12</v>
      </c>
      <c r="C18" s="6" t="inlineStr">
        <is>
          <t>Кабель оптический самонесущий, 64 волокон</t>
        </is>
      </c>
      <c r="D18" s="5" t="inlineStr">
        <is>
          <t>км</t>
        </is>
      </c>
      <c r="E18" s="6" t="inlineStr">
        <is>
          <t>волокна участка = 1,25 × ДХ потока</t>
        </is>
      </c>
      <c r="F18" s="13" t="n">
        <v>0.4</v>
      </c>
      <c r="G18" s="14">
        <f>SUM(F18:F18)</f>
        <v/>
      </c>
    </row>
    <row r="19" ht="24" customHeight="1">
      <c r="B19" s="9" t="n">
        <v>13</v>
      </c>
      <c r="C19" s="10" t="inlineStr">
        <is>
          <t>Кабель оптический самонесущий, 72 волокон</t>
        </is>
      </c>
      <c r="D19" s="9" t="inlineStr">
        <is>
          <t>км</t>
        </is>
      </c>
      <c r="E19" s="10" t="inlineStr">
        <is>
          <t>волокна участка = 1,25 × ДХ потока</t>
        </is>
      </c>
      <c r="F19" s="15" t="n">
        <v>0.2</v>
      </c>
      <c r="G19" s="16">
        <f>SUM(F19:F19)</f>
        <v/>
      </c>
    </row>
    <row r="20" ht="24" customHeight="1">
      <c r="B20" s="5" t="n">
        <v>14</v>
      </c>
      <c r="C20" s="6" t="inlineStr">
        <is>
          <t>Кабель оптический самонесущий, 96 волокон</t>
        </is>
      </c>
      <c r="D20" s="5" t="inlineStr">
        <is>
          <t>км</t>
        </is>
      </c>
      <c r="E20" s="6" t="inlineStr">
        <is>
          <t>волокна участка = 1,25 × ДХ потока</t>
        </is>
      </c>
      <c r="F20" s="13" t="n">
        <v>0.1</v>
      </c>
      <c r="G20" s="14">
        <f>SUM(F20:F20)</f>
        <v/>
      </c>
    </row>
    <row r="21" ht="24" customHeight="1">
      <c r="B21" s="9" t="n">
        <v>15</v>
      </c>
      <c r="C21" s="10" t="inlineStr">
        <is>
          <t>Кабель дроп-кабельный самонесущий, 2 волокна (1 раб. + 1 рез.)</t>
        </is>
      </c>
      <c r="D21" s="9" t="inlineStr">
        <is>
          <t>км</t>
        </is>
      </c>
      <c r="E21" s="10" t="inlineStr">
        <is>
          <t>Σ длин дропов × 1,05</t>
        </is>
      </c>
      <c r="F21" s="15" t="n">
        <v>12.2</v>
      </c>
      <c r="G21" s="16">
        <f>SUM(F21:F21)</f>
        <v/>
      </c>
    </row>
    <row r="22" ht="24" customHeight="1">
      <c r="B22" s="5" t="n">
        <v>16</v>
      </c>
      <c r="C22" s="6" t="inlineStr">
        <is>
          <t>Справочно: суммарная ёмкость магистрального кабеля</t>
        </is>
      </c>
      <c r="D22" s="5" t="inlineStr">
        <is>
          <t>волокно-км</t>
        </is>
      </c>
      <c r="E22" s="6" t="inlineStr">
        <is>
          <t>Σ (длина участка × волокна)</t>
        </is>
      </c>
      <c r="F22" s="13" t="n">
        <v>248</v>
      </c>
      <c r="G22" s="14">
        <f>SUM(F22:F22)</f>
        <v/>
      </c>
    </row>
    <row r="23" ht="24" customHeight="1">
      <c r="B23" s="4" t="n"/>
      <c r="C23" s="4" t="inlineStr">
        <is>
          <t>В. Пассивные узлы</t>
        </is>
      </c>
      <c r="D23" s="4" t="n"/>
      <c r="E23" s="4" t="n"/>
      <c r="F23" s="4" t="n"/>
      <c r="G23" s="4" t="n"/>
    </row>
    <row r="24" ht="24" customHeight="1">
      <c r="B24" s="5" t="n">
        <v>17</v>
      </c>
      <c r="C24" s="6" t="inlineStr">
        <is>
          <t>Муфта оптическая (проходная / тупиковая)</t>
        </is>
      </c>
      <c r="D24" s="5" t="inlineStr">
        <is>
          <t>шт</t>
        </is>
      </c>
      <c r="E24" s="6" t="inlineStr">
        <is>
          <t>ветвления и подключения (кроме узлов, ставших зонными ОРШ)</t>
        </is>
      </c>
      <c r="F24" s="7" t="n">
        <v>160</v>
      </c>
      <c r="G24" s="8">
        <f>SUM(F24:F24)</f>
        <v/>
      </c>
    </row>
    <row r="25" ht="24" customHeight="1">
      <c r="B25" s="4" t="n"/>
      <c r="C25" s="4" t="inlineStr">
        <is>
          <t>Г. Материалы для монтажа</t>
        </is>
      </c>
      <c r="D25" s="4" t="n"/>
      <c r="E25" s="4" t="n"/>
      <c r="F25" s="4" t="n"/>
      <c r="G25" s="4" t="n"/>
    </row>
    <row r="26" ht="24" customHeight="1">
      <c r="B26" s="5" t="n">
        <v>18</v>
      </c>
      <c r="C26" s="6" t="inlineStr">
        <is>
          <t>Бокс абонентский оптический с адаптером SC/UPC</t>
        </is>
      </c>
      <c r="D26" s="5" t="inlineStr">
        <is>
          <t>шт</t>
        </is>
      </c>
      <c r="E26" s="6" t="inlineStr">
        <is>
          <t>1 на ДХ</t>
        </is>
      </c>
      <c r="F26" s="7" t="n">
        <v>258</v>
      </c>
      <c r="G26" s="8">
        <f>SUM(F26:F26)</f>
        <v/>
      </c>
    </row>
    <row r="27" ht="24" customHeight="1">
      <c r="B27" s="9" t="n">
        <v>19</v>
      </c>
      <c r="C27" s="10" t="inlineStr">
        <is>
          <t>Коннектор оптический механический SC/UPC</t>
        </is>
      </c>
      <c r="D27" s="9" t="inlineStr">
        <is>
          <t>шт</t>
        </is>
      </c>
      <c r="E27" s="10" t="inlineStr">
        <is>
          <t>ДХ × 1,1</t>
        </is>
      </c>
      <c r="F27" s="11" t="n">
        <v>284</v>
      </c>
      <c r="G27" s="12">
        <f>SUM(F27:F27)</f>
        <v/>
      </c>
    </row>
    <row r="28" ht="24" customHeight="1">
      <c r="B28" s="5" t="n">
        <v>20</v>
      </c>
      <c r="C28" s="6" t="inlineStr">
        <is>
          <t>Сварное соединение (оценка объёма работ)</t>
        </is>
      </c>
      <c r="D28" s="5" t="inlineStr">
        <is>
          <t>шт</t>
        </is>
      </c>
      <c r="E28" s="6" t="inlineStr">
        <is>
          <t>(2 × ДХ + 2 × сплиттеры) × 1,1</t>
        </is>
      </c>
      <c r="F28" s="7" t="n">
        <v>581</v>
      </c>
      <c r="G28" s="8">
        <f>SUM(F28:F28)</f>
        <v/>
      </c>
    </row>
    <row r="29" ht="24" customHeight="1">
      <c r="B29" s="9" t="n">
        <v>21</v>
      </c>
      <c r="C29" s="10" t="inlineStr">
        <is>
          <t>Гильза КДЗС, 60 мм</t>
        </is>
      </c>
      <c r="D29" s="9" t="inlineStr">
        <is>
          <t>шт</t>
        </is>
      </c>
      <c r="E29" s="10" t="inlineStr">
        <is>
          <t>по числу сварных соединений</t>
        </is>
      </c>
      <c r="F29" s="11" t="n">
        <v>581</v>
      </c>
      <c r="G29" s="12">
        <f>SUM(F29:F29)</f>
        <v/>
      </c>
    </row>
    <row r="30" ht="24" customHeight="1">
      <c r="B30" s="5" t="n">
        <v>22</v>
      </c>
      <c r="C30" s="6" t="inlineStr">
        <is>
          <t>Комплект подвеса магистрали (кронштейн + спиральный зажим)</t>
        </is>
      </c>
      <c r="D30" s="5" t="inlineStr">
        <is>
          <t>компл</t>
        </is>
      </c>
      <c r="E30" s="6" t="inlineStr">
        <is>
          <t>30 на 1 км кабеля</t>
        </is>
      </c>
      <c r="F30" s="7" t="n">
        <v>421</v>
      </c>
      <c r="G30" s="8">
        <f>SUM(F30:F30)</f>
        <v/>
      </c>
    </row>
    <row r="31" ht="24" customHeight="1">
      <c r="B31" s="9" t="n">
        <v>23</v>
      </c>
      <c r="C31" s="10" t="inlineStr">
        <is>
          <t>Анкерный зажим дроп-кабеля</t>
        </is>
      </c>
      <c r="D31" s="9" t="inlineStr">
        <is>
          <t>шт</t>
        </is>
      </c>
      <c r="E31" s="10" t="inlineStr">
        <is>
          <t>2 на ДХ</t>
        </is>
      </c>
      <c r="F31" s="11" t="n">
        <v>516</v>
      </c>
      <c r="G31" s="12">
        <f>SUM(F31:F31)</f>
        <v/>
      </c>
    </row>
    <row r="32" ht="24" customHeight="1">
      <c r="B32" s="5" t="n">
        <v>24</v>
      </c>
      <c r="C32" s="6" t="inlineStr">
        <is>
          <t>Крепёж дроп-кабеля (скобы / хомуты)</t>
        </is>
      </c>
      <c r="D32" s="5" t="inlineStr">
        <is>
          <t>шт</t>
        </is>
      </c>
      <c r="E32" s="6" t="inlineStr">
        <is>
          <t>6 на ДХ</t>
        </is>
      </c>
      <c r="F32" s="7" t="n">
        <v>1548</v>
      </c>
      <c r="G32" s="8">
        <f>SUM(F32:F32)</f>
        <v/>
      </c>
    </row>
    <row r="34" ht="14" customHeight="1">
      <c r="B34" s="2" t="inlineStr">
        <is>
          <t>Значения в графах сел — потребность по проекту; графа «ИТОГО» — сумма по всем СНП. Единицы измерения разнородны, итог по столбцам не приводится.</t>
        </is>
      </c>
    </row>
    <row r="35" ht="14" customHeight="1">
      <c r="B35" s="2" t="inlineStr">
        <is>
          <t>Позиция А.5 (порты PON OLT) — справочно, активное оборудование. Нормы и допущения — лист «Методика»; параметры сетей — лист «Параметры сетей».</t>
        </is>
      </c>
    </row>
    <row r="36" ht="14" customHeight="1">
      <c r="B36" s="2" t="inlineStr">
        <is>
          <t>Фидер ЦУ → зонный ОРШ идёт по дереву сети совместно с распределительными волокнами; межселённый транспорт до ЦУ — за рамками расчёта.</t>
        </is>
      </c>
    </row>
  </sheetData>
  <mergeCells count="4">
    <mergeCell ref="B36:G36"/>
    <mergeCell ref="B2:G2"/>
    <mergeCell ref="B34:G34"/>
    <mergeCell ref="B35:G3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7" customWidth="1" min="3" max="3"/>
    <col width="22" customWidth="1" min="4" max="4"/>
    <col width="10" customWidth="1" min="5" max="5"/>
    <col width="10" customWidth="1" min="6" max="6"/>
    <col width="9" customWidth="1" min="7" max="7"/>
    <col width="8" customWidth="1" min="8" max="8"/>
    <col width="11" customWidth="1" min="9" max="9"/>
    <col width="9.5" customWidth="1" min="10" max="10"/>
    <col width="9.5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</cols>
  <sheetData>
    <row r="1" ht="15" customHeight="1"/>
    <row r="2" ht="32" customHeight="1">
      <c r="B2" s="1" t="inlineStr">
        <is>
          <t>Параметры спроектированных FTTH-сетей по СНП (схема D)</t>
        </is>
      </c>
    </row>
    <row r="3" ht="14" customHeight="1">
      <c r="B3" s="2" t="inlineStr">
        <is>
          <t>ДХ — домохозяйства. «Верхний участок» — максимум волокон на участке; «маршрут волокна» — от обслуживающего ОРШ зоны до муфты ДХ. Подготовлено 24.09.2026</t>
        </is>
      </c>
    </row>
    <row r="4" ht="28" customHeight="1">
      <c r="B4" s="3" t="inlineStr">
        <is>
          <t>№</t>
        </is>
      </c>
      <c r="C4" s="3" t="inlineStr">
        <is>
          <t>СНП</t>
        </is>
      </c>
      <c r="D4" s="3" t="inlineStr">
        <is>
          <t>Район / с.о.</t>
        </is>
      </c>
      <c r="E4" s="3" t="inlineStr">
        <is>
          <t>ДХ (заказ)</t>
        </is>
      </c>
      <c r="F4" s="3" t="inlineStr">
        <is>
          <t>ДХ (проект)</t>
        </is>
      </c>
      <c r="G4" s="3" t="inlineStr">
        <is>
          <t>Δ к заказу</t>
        </is>
      </c>
      <c r="H4" s="3" t="inlineStr">
        <is>
          <t>Зонных ОРШ</t>
        </is>
      </c>
      <c r="I4" s="3" t="inlineStr">
        <is>
          <t>Муфты</t>
        </is>
      </c>
      <c r="J4" s="3" t="inlineStr">
        <is>
          <t>Магистраль, км</t>
        </is>
      </c>
      <c r="K4" s="3" t="inlineStr">
        <is>
          <t>Дропы, км</t>
        </is>
      </c>
      <c r="L4" s="3" t="inlineStr">
        <is>
          <t>Ср. дроп, м</t>
        </is>
      </c>
      <c r="M4" s="3" t="inlineStr">
        <is>
          <t>Макс. дроп, м</t>
        </is>
      </c>
      <c r="N4" s="3" t="inlineStr">
        <is>
          <t>Волокно-км (D)</t>
        </is>
      </c>
      <c r="O4" s="3" t="inlineStr">
        <is>
          <t>Волокно-км (A)</t>
        </is>
      </c>
      <c r="P4" s="3" t="inlineStr">
        <is>
          <t>Сплиттеры 1:64</t>
        </is>
      </c>
      <c r="Q4" s="3" t="inlineStr">
        <is>
          <t>Верх. участок, волокон</t>
        </is>
      </c>
      <c r="R4" s="3" t="inlineStr">
        <is>
          <t>Ср. маршрут волокна, м</t>
        </is>
      </c>
    </row>
    <row r="5" ht="26" customHeight="1">
      <c r="B5" s="5" t="inlineStr">
        <is>
          <t>07</t>
        </is>
      </c>
      <c r="C5" s="6" t="inlineStr">
        <is>
          <t>Топольное</t>
        </is>
      </c>
      <c r="D5" s="5" t="inlineStr">
        <is>
          <t>Угловский район / Тополинский сельсовет, Алтайский край</t>
        </is>
      </c>
      <c r="E5" s="17" t="n"/>
      <c r="F5" s="7" t="n">
        <v>258</v>
      </c>
      <c r="G5" s="7">
        <f>IFERROR(F5/E5-1,"")</f>
        <v/>
      </c>
      <c r="H5" s="18" t="n">
        <v>3</v>
      </c>
      <c r="I5" s="7" t="n">
        <v>160</v>
      </c>
      <c r="J5" s="7" t="n">
        <v>14.03</v>
      </c>
      <c r="K5" s="19" t="n">
        <v>11.52</v>
      </c>
      <c r="L5" s="19" t="n">
        <v>44.7</v>
      </c>
      <c r="M5" s="7" t="n">
        <v>98.8</v>
      </c>
      <c r="N5" s="7" t="n">
        <v>248</v>
      </c>
      <c r="O5" s="7" t="n">
        <v>432.4</v>
      </c>
      <c r="P5" s="7" t="n">
        <v>6</v>
      </c>
      <c r="Q5" s="7" t="n">
        <v>83</v>
      </c>
      <c r="R5" s="7" t="n">
        <v>543.4</v>
      </c>
    </row>
    <row r="6" ht="26" customHeight="1">
      <c r="B6" s="20" t="n"/>
      <c r="C6" s="20" t="inlineStr">
        <is>
          <t>ИТОГО</t>
        </is>
      </c>
      <c r="D6" s="20" t="n"/>
      <c r="E6" s="21">
        <f>SUM(E5:E5)</f>
        <v/>
      </c>
      <c r="F6" s="21">
        <f>SUM(F5:F5)</f>
        <v/>
      </c>
      <c r="G6" s="22">
        <f>IFERROR(F6/E6-1,"")</f>
        <v/>
      </c>
      <c r="H6" s="21">
        <f>SUM(H5:H5)</f>
        <v/>
      </c>
      <c r="I6" s="21">
        <f>SUM(I5:I5)</f>
        <v/>
      </c>
      <c r="J6" s="23">
        <f>SUM(J5:J5)</f>
        <v/>
      </c>
      <c r="K6" s="23">
        <f>SUM(K5:K5)</f>
        <v/>
      </c>
      <c r="L6" s="21">
        <f>IFERROR(K6*1000/F6,"")</f>
        <v/>
      </c>
      <c r="M6" s="21">
        <f>MAX(M5:M5)</f>
        <v/>
      </c>
      <c r="N6" s="24">
        <f>SUM(N5:N5)</f>
        <v/>
      </c>
      <c r="O6" s="24">
        <f>SUM(O5:O5)</f>
        <v/>
      </c>
      <c r="P6" s="21">
        <f>SUM(P5:P5)</f>
        <v/>
      </c>
      <c r="Q6" s="21">
        <f>MAX(Q5:Q5)</f>
        <v/>
      </c>
      <c r="R6" s="21">
        <f>IFERROR(SUMPRODUCT(R5:R5,F5:F5)/F6,"")</f>
        <v/>
      </c>
    </row>
  </sheetData>
  <mergeCells count="1">
    <mergeCell ref="B2:R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22" customWidth="1" min="4" max="4"/>
    <col width="14" customWidth="1" min="5" max="5"/>
  </cols>
  <sheetData>
    <row r="1" ht="15" customHeight="1"/>
    <row r="2" ht="32" customHeight="1">
      <c r="B2" s="1" t="inlineStr">
        <is>
          <t>Сравнение схем: централизованная (A) и децентрализованная (D)</t>
        </is>
      </c>
    </row>
    <row r="3" ht="14" customHeight="1">
      <c r="B3" s="2" t="inlineStr">
        <is>
          <t>Топология сетей, муфты и дропы в обеих схемах одинаковы — различается размещение сплиттеров и формирование ёмкостей. Подготовлено 24.09.2026</t>
        </is>
      </c>
    </row>
    <row r="4" ht="28" customHeight="1">
      <c r="B4" s="3" t="inlineStr">
        <is>
          <t>Показатель</t>
        </is>
      </c>
      <c r="C4" s="3" t="inlineStr">
        <is>
          <t>A — централизованная 1:64</t>
        </is>
      </c>
      <c r="D4" s="3" t="inlineStr">
        <is>
          <t>D — зонные ОРШ 1:64</t>
        </is>
      </c>
      <c r="E4" s="3" t="inlineStr">
        <is>
          <t>Δ D к A</t>
        </is>
      </c>
    </row>
    <row r="5" ht="24" customHeight="1">
      <c r="B5" s="6" t="inlineStr">
        <is>
          <t>Обслуживаемые ДХ</t>
        </is>
      </c>
      <c r="C5" s="7" t="n">
        <v>258</v>
      </c>
      <c r="D5" s="7" t="n">
        <v>258</v>
      </c>
      <c r="E5" s="25">
        <f>IFERROR(D5/C5-1,"")</f>
        <v/>
      </c>
    </row>
    <row r="6" ht="24" customHeight="1">
      <c r="B6" s="10" t="inlineStr">
        <is>
          <t>ОРШ (шкафы), шт</t>
        </is>
      </c>
      <c r="C6" s="11" t="n">
        <v>1</v>
      </c>
      <c r="D6" s="11" t="n">
        <v>4</v>
      </c>
      <c r="E6" s="26">
        <f>IFERROR(D6/C6-1,"")</f>
        <v/>
      </c>
    </row>
    <row r="7" ht="24" customHeight="1">
      <c r="B7" s="6" t="inlineStr">
        <is>
          <t>Волокно-км магистрали</t>
        </is>
      </c>
      <c r="C7" s="13" t="n">
        <v>432.4</v>
      </c>
      <c r="D7" s="13" t="n">
        <v>248</v>
      </c>
      <c r="E7" s="13">
        <f>IFERROR(D7/C7-1,"")</f>
        <v/>
      </c>
    </row>
    <row r="8" ht="24" customHeight="1">
      <c r="B8" s="10" t="inlineStr">
        <is>
          <t>Магистральный кабель (с запасом 10 %), км</t>
        </is>
      </c>
      <c r="C8" s="15" t="n">
        <v>16.5</v>
      </c>
      <c r="D8" s="15" t="n">
        <v>15.43</v>
      </c>
      <c r="E8" s="15">
        <f>IFERROR(D8/C8-1,"")</f>
        <v/>
      </c>
    </row>
    <row r="9" ht="24" customHeight="1">
      <c r="B9" s="6" t="inlineStr">
        <is>
          <t>Дроп-кабель (с запасом 5 %), км</t>
        </is>
      </c>
      <c r="C9" s="13" t="n">
        <v>12.2</v>
      </c>
      <c r="D9" s="13" t="n">
        <v>12.2</v>
      </c>
      <c r="E9" s="13">
        <f>IFERROR(D9/C9-1,"")</f>
        <v/>
      </c>
    </row>
    <row r="10" ht="24" customHeight="1">
      <c r="B10" s="10" t="inlineStr">
        <is>
          <t>ВСЕГО кабельной продукции, км</t>
        </is>
      </c>
      <c r="C10" s="15" t="n">
        <v>28.7</v>
      </c>
      <c r="D10" s="15" t="n">
        <v>27.6</v>
      </c>
      <c r="E10" s="15">
        <f>IFERROR(D10/C10-1,"")</f>
        <v/>
      </c>
    </row>
    <row r="11" ht="24" customHeight="1">
      <c r="B11" s="6" t="inlineStr">
        <is>
          <t>Муфты, шт</t>
        </is>
      </c>
      <c r="C11" s="7" t="n">
        <v>163</v>
      </c>
      <c r="D11" s="7" t="n">
        <v>160</v>
      </c>
      <c r="E11" s="25">
        <f>IFERROR(D11/C11-1,"")</f>
        <v/>
      </c>
    </row>
    <row r="12" ht="24" customHeight="1">
      <c r="B12" s="10" t="inlineStr">
        <is>
          <t>Сплиттеры 1:64, шт</t>
        </is>
      </c>
      <c r="C12" s="11" t="n">
        <v>5</v>
      </c>
      <c r="D12" s="11" t="n">
        <v>6</v>
      </c>
      <c r="E12" s="26">
        <f>IFERROR(D12/C12-1,"")</f>
        <v/>
      </c>
    </row>
    <row r="13" ht="24" customHeight="1">
      <c r="B13" s="6" t="inlineStr">
        <is>
          <t>Сварные соединения, шт</t>
        </is>
      </c>
      <c r="C13" s="7" t="n">
        <v>568</v>
      </c>
      <c r="D13" s="7" t="n">
        <v>581</v>
      </c>
      <c r="E13" s="25">
        <f>IFERROR(D13/C13-1,"")</f>
        <v/>
      </c>
    </row>
    <row r="14" ht="24" customHeight="1">
      <c r="B14" s="10" t="inlineStr">
        <is>
          <t>Кросс ОРШ, портов</t>
        </is>
      </c>
      <c r="C14" s="11" t="n">
        <v>288</v>
      </c>
      <c r="D14" s="11" t="n">
        <v>432</v>
      </c>
      <c r="E14" s="26">
        <f>IFERROR(D14/C14-1,"")</f>
        <v/>
      </c>
    </row>
    <row r="16">
      <c r="B16" s="2" t="inlineStr">
        <is>
          <t>Схема D минимизирует суммарную длину кабельной продукции и волокно-км; схема A проще в эксплуатации (все сплиттеры в ЦУ, OTDR-тест из одной точки), но требует больших ёмкостей магистрали у ЦУ.</t>
        </is>
      </c>
    </row>
  </sheetData>
  <mergeCells count="2">
    <mergeCell ref="B2:E2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88" customWidth="1" min="4" max="4"/>
  </cols>
  <sheetData>
    <row r="1" ht="15" customHeight="1"/>
    <row r="2" ht="32" customHeight="1">
      <c r="B2" s="1" t="inlineStr">
        <is>
          <t>Методика расчёта и принятые допущения</t>
        </is>
      </c>
    </row>
    <row r="3" ht="14" customHeight="1">
      <c r="B3" s="2" t="inlineStr">
        <is>
          <t>Расчёт выполнен по геометрии спроектированных сетей (ЦУ → зонные ОРШ → муфты → ДХ). Подготовлено 24.09.2026</t>
        </is>
      </c>
    </row>
    <row r="4" ht="28" customHeight="1">
      <c r="B4" s="3" t="inlineStr">
        <is>
          <t>№</t>
        </is>
      </c>
      <c r="C4" s="3" t="inlineStr">
        <is>
          <t>Положение</t>
        </is>
      </c>
      <c r="D4" s="3" t="inlineStr">
        <is>
          <t>Принято / описание</t>
        </is>
      </c>
    </row>
    <row r="5" ht="24" customHeight="1">
      <c r="B5" s="4" t="n"/>
      <c r="C5" s="4" t="inlineStr">
        <is>
          <t>1. Исходные данные</t>
        </is>
      </c>
      <c r="D5" s="4" t="n"/>
    </row>
    <row r="6" ht="36" customHeight="1">
      <c r="B6" s="27" t="n">
        <v>1</v>
      </c>
      <c r="C6" s="28" t="inlineStr">
        <is>
          <t>Геометрия сетей</t>
        </is>
      </c>
      <c r="D6" s="28" t="inlineStr">
        <is>
          <t>Проектные FTTH-сети построены по спутниковым снимкам высокого разрешения (Google z18, ~0,38 м/px) с привязкой к дорожной сети OSM; дропы проложены вдоль улиц, дворов и фасадов, все ветвления — в муфтах.</t>
        </is>
      </c>
    </row>
    <row r="7" ht="22" customHeight="1">
      <c r="B7" s="29" t="n">
        <v>2</v>
      </c>
      <c r="C7" s="30" t="inlineStr">
        <is>
          <t>Число ДХ по данным заказа</t>
        </is>
      </c>
      <c r="D7" s="30" t="inlineStr">
        <is>
          <t>0 по всем СНП (см. config проекта).</t>
        </is>
      </c>
    </row>
    <row r="8" ht="36" customHeight="1">
      <c r="B8" s="27" t="n">
        <v>3</v>
      </c>
      <c r="C8" s="28" t="inlineStr">
        <is>
          <t>Обслужено проектом</t>
        </is>
      </c>
      <c r="D8" s="28" t="inlineStr">
        <is>
          <t>258 ДХ. Отклонения от данных заказа связаны с покрытием дорог OSM и фактической застройкой; при больших расхождениях проверьте домохозяйства по превью стадии households.</t>
        </is>
      </c>
    </row>
    <row r="9" ht="22" customHeight="1">
      <c r="B9" s="29" t="n">
        <v>4</v>
      </c>
      <c r="C9" s="30" t="inlineStr">
        <is>
          <t>Длины</t>
        </is>
      </c>
      <c r="D9" s="30" t="inlineStr">
        <is>
          <t>Длины участков и дропов — по геометрии проекта с пересчётом пикселей в метры по масштабу мозаики.</t>
        </is>
      </c>
    </row>
    <row r="10" ht="24" customHeight="1">
      <c r="B10" s="4" t="n"/>
      <c r="C10" s="4" t="inlineStr">
        <is>
          <t>2. Архитектура (схема D)</t>
        </is>
      </c>
      <c r="D10" s="4" t="n"/>
    </row>
    <row r="11" ht="50" customHeight="1">
      <c r="B11" s="27" t="n">
        <v>5</v>
      </c>
      <c r="C11" s="28" t="inlineStr">
        <is>
          <t>Схема сети</t>
        </is>
      </c>
      <c r="D11" s="28" t="inlineStr">
        <is>
          <t>GPON, децентрализованная: дерево села режется на зоны, в корне зоны (существующая муфта ветвления) ставится зонный ОРШ со сплиттерами 1:64 своей зоны; единый узел OLT; фидер от ЦУ к зонным ОРШ идёт по кратчайшему пути дорожного графа (Дейкстра) — путь внутри дерева распределения может быть существенно длиннее.</t>
        </is>
      </c>
    </row>
    <row r="12" ht="36" customHeight="1">
      <c r="B12" s="29" t="n">
        <v>6</v>
      </c>
      <c r="C12" s="30" t="inlineStr">
        <is>
          <t>Разбиение на зоны</t>
        </is>
      </c>
      <c r="D12" s="30" t="inlineStr">
        <is>
          <t>Жадный выбор врезов по максимальной маржинальной экономии волокно-км; зона &gt;= 48 ДХ (заполнение сплиттера 1:64 &gt;= 75 %); экономия вреза &gt;= S_MIN = 15 волокно-км (порог окупаемости шкафа).</t>
        </is>
      </c>
    </row>
    <row r="13" ht="36" customHeight="1">
      <c r="B13" s="27" t="n">
        <v>7</v>
      </c>
      <c r="C13" s="28" t="inlineStr">
        <is>
          <t>Дроп-линия</t>
        </is>
      </c>
      <c r="D13" s="28" t="inlineStr">
        <is>
          <t>Дроп-кабель 2-волоконный (1 рабочее + 1 резервное), самонесущий, от обслуживающей муфты вдоль улицы/двора к зданию.</t>
        </is>
      </c>
    </row>
    <row r="14" ht="24" customHeight="1">
      <c r="B14" s="4" t="n"/>
      <c r="C14" s="4" t="inlineStr">
        <is>
          <t>3. Кабельная продукция</t>
        </is>
      </c>
      <c r="D14" s="4" t="n"/>
    </row>
    <row r="15" ht="36" customHeight="1">
      <c r="B15" s="29" t="n">
        <v>8</v>
      </c>
      <c r="C15" s="30" t="inlineStr">
        <is>
          <t>Магистральный кабель</t>
        </is>
      </c>
      <c r="D15" s="30" t="inlineStr">
        <is>
          <t>Самонесущий, стандартные ёмкости 8 / 12 / 16 / 24 / 32 / 48 / 64 / 72 / 96 волокон; при потребности свыше 96 — параллельная прокладка кабелей меньшей ёмкости.</t>
        </is>
      </c>
    </row>
    <row r="16" ht="36" customHeight="1">
      <c r="B16" s="27" t="n">
        <v>9</v>
      </c>
      <c r="C16" s="28" t="inlineStr">
        <is>
          <t>Число волокон на участке</t>
        </is>
      </c>
      <c r="D16" s="28" t="inlineStr">
        <is>
          <t>ДХ ниже по потоку × 1.25 (резерв 25 %), минимум 8 волокон; фидер зоны добавляется к распределительным волокнам на общих с деревом участках; на участках вне дерева — отдельный кабель не менее 8 волокон.</t>
        </is>
      </c>
    </row>
    <row r="17" ht="22" customHeight="1">
      <c r="B17" s="29" t="n">
        <v>10</v>
      </c>
      <c r="C17" s="30" t="inlineStr">
        <is>
          <t>Запас на монтаж</t>
        </is>
      </c>
      <c r="D17" s="30" t="inlineStr">
        <is>
          <t>+10 % к магистрали и +5 % к дроп-кабелю; округление вверх до 0,1 км.</t>
        </is>
      </c>
    </row>
    <row r="18" ht="22" customHeight="1">
      <c r="B18" s="27" t="n">
        <v>11</v>
      </c>
      <c r="C18" s="28" t="inlineStr">
        <is>
          <t>Справочно</t>
        </is>
      </c>
      <c r="D18" s="28" t="inlineStr">
        <is>
          <t>Суммарная ёмкость магистрали — 248.0 волокно-км (централизованная схема: 432.4).</t>
        </is>
      </c>
    </row>
    <row r="19" ht="24" customHeight="1">
      <c r="B19" s="4" t="n"/>
      <c r="C19" s="4" t="inlineStr">
        <is>
          <t>4. Узлы и монтажные нормы</t>
        </is>
      </c>
      <c r="D19" s="4" t="n"/>
    </row>
    <row r="20" ht="36" customHeight="1">
      <c r="B20" s="29" t="n">
        <v>12</v>
      </c>
      <c r="C20" s="30" t="inlineStr">
        <is>
          <t>Муфты</t>
        </is>
      </c>
      <c r="D20" s="30" t="inlineStr">
        <is>
          <t>Все точки ветвления магистрали и подключения групп дропов, кроме узлов, получивших зонный ОРШ. Тип муфты и ёмкость — по рабочему проекту.</t>
        </is>
      </c>
    </row>
    <row r="21" ht="36" customHeight="1">
      <c r="B21" s="27" t="n">
        <v>13</v>
      </c>
      <c r="C21" s="28" t="inlineStr">
        <is>
          <t>ОРШ</t>
        </is>
      </c>
      <c r="D21" s="28" t="inlineStr">
        <is>
          <t>ЦУ — на здании-якоре в центре села; зонные — уличные шкафы в муфтах ветвления. Ёмкость портов — ДХ × 1,1 с округлением вверх до ряда 48 / 96 / 144 / 288 / 576 (зонные) и 144 / 288 / 576 / 864 / 1152 (ЦУ).</t>
        </is>
      </c>
    </row>
    <row r="22" ht="22" customHeight="1">
      <c r="B22" s="29" t="n">
        <v>14</v>
      </c>
      <c r="C22" s="30" t="inlineStr">
        <is>
          <t>Сварные соединения</t>
        </is>
      </c>
      <c r="D22" s="30" t="inlineStr">
        <is>
          <t>(2 × ДХ + 2 × сплиттеры) × 1.1; гильзы КДЗС — по числу сварок.</t>
        </is>
      </c>
    </row>
    <row r="23" ht="36" customHeight="1">
      <c r="B23" s="27" t="n">
        <v>15</v>
      </c>
      <c r="C23" s="28" t="inlineStr">
        <is>
          <t>Подвес магистрали</t>
        </is>
      </c>
      <c r="D23" s="28" t="inlineStr">
        <is>
          <t>30 комплектов на 1 км кабеля; новые опоры не предусмотрены — предполагается использование существующих опорных конструкций.</t>
        </is>
      </c>
    </row>
    <row r="24" ht="22" customHeight="1">
      <c r="B24" s="29" t="n">
        <v>16</v>
      </c>
      <c r="C24" s="30" t="inlineStr">
        <is>
          <t>Крепёж дропа</t>
        </is>
      </c>
      <c r="D24" s="30" t="inlineStr">
        <is>
          <t>2 анкерных зажима и 6 промежуточных креплений на одно ДХ.</t>
        </is>
      </c>
    </row>
    <row r="25" ht="24" customHeight="1">
      <c r="B25" s="4" t="n"/>
      <c r="C25" s="4" t="inlineStr">
        <is>
          <t>5. Прочее</t>
        </is>
      </c>
      <c r="D25" s="4" t="n"/>
    </row>
    <row r="26" ht="22" customHeight="1">
      <c r="B26" s="27" t="n">
        <v>17</v>
      </c>
      <c r="C26" s="28" t="inlineStr">
        <is>
          <t>Активное оборудование</t>
        </is>
      </c>
      <c r="D26" s="28" t="inlineStr">
        <is>
          <t>Порты PON OLT приведены справочно; модель и комплектацию уточняет заказчик.</t>
        </is>
      </c>
    </row>
    <row r="27" ht="36" customHeight="1">
      <c r="B27" s="29" t="n">
        <v>18</v>
      </c>
      <c r="C27" s="30" t="inlineStr">
        <is>
          <t>За рамками расчёта</t>
        </is>
      </c>
      <c r="D27" s="30" t="inlineStr">
        <is>
          <t>Межселённый транспорт до ЦУ, строительство/аренда опор, заземление, оборудование абонентов (ONT), СМР, накладные расходы.</t>
        </is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2026-09-24T08:55:36Z</dcterms:created>
  <dcterms:modified xmlns:dcterms="http://purl.org/dc/terms/" xmlns:xsi="http://www.w3.org/2001/XMLSchema-instance" xsi:type="dcterms:W3CDTF">2026-09-24T08:55:36Z</dcterms:modified>
</cp:coreProperties>
</file>